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ITHOBA_12620583\CAP776\"/>
    </mc:Choice>
  </mc:AlternateContent>
  <xr:revisionPtr revIDLastSave="0" documentId="13_ncr:1_{932C19DB-4FAE-462D-A975-7D6A62528DCC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Instructions" sheetId="1" r:id="rId1"/>
    <sheet name="Daily Log" sheetId="2" r:id="rId2"/>
    <sheet name="Daily Log (2)" sheetId="8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8" l="1"/>
  <c r="J24" i="8" s="1"/>
  <c r="I326" i="8"/>
  <c r="J326" i="8" s="1"/>
  <c r="I325" i="8"/>
  <c r="J325" i="8" s="1"/>
  <c r="I324" i="8"/>
  <c r="J324" i="8" s="1"/>
  <c r="I323" i="8"/>
  <c r="J323" i="8" s="1"/>
  <c r="I322" i="8"/>
  <c r="J322" i="8" s="1"/>
  <c r="I321" i="8"/>
  <c r="J321" i="8" s="1"/>
  <c r="I320" i="8"/>
  <c r="J320" i="8" s="1"/>
  <c r="I319" i="8"/>
  <c r="J319" i="8" s="1"/>
  <c r="I318" i="8"/>
  <c r="J318" i="8" s="1"/>
  <c r="I317" i="8"/>
  <c r="J317" i="8" s="1"/>
  <c r="I316" i="8"/>
  <c r="J316" i="8" s="1"/>
  <c r="I315" i="8"/>
  <c r="J315" i="8" s="1"/>
  <c r="I314" i="8"/>
  <c r="J314" i="8" s="1"/>
  <c r="I313" i="8"/>
  <c r="J313" i="8" s="1"/>
  <c r="I312" i="8"/>
  <c r="J312" i="8" s="1"/>
  <c r="I311" i="8"/>
  <c r="J311" i="8" s="1"/>
  <c r="I310" i="8"/>
  <c r="J310" i="8" s="1"/>
  <c r="I309" i="8"/>
  <c r="J309" i="8" s="1"/>
  <c r="I308" i="8"/>
  <c r="J308" i="8" s="1"/>
  <c r="I307" i="8"/>
  <c r="J307" i="8" s="1"/>
  <c r="I306" i="8"/>
  <c r="J306" i="8" s="1"/>
  <c r="I305" i="8"/>
  <c r="J305" i="8" s="1"/>
  <c r="I304" i="8"/>
  <c r="J304" i="8" s="1"/>
  <c r="I303" i="8"/>
  <c r="J303" i="8" s="1"/>
  <c r="I302" i="8"/>
  <c r="J302" i="8" s="1"/>
  <c r="I301" i="8"/>
  <c r="J301" i="8" s="1"/>
  <c r="I300" i="8"/>
  <c r="J300" i="8" s="1"/>
  <c r="I299" i="8"/>
  <c r="J299" i="8" s="1"/>
  <c r="I298" i="8"/>
  <c r="J298" i="8" s="1"/>
  <c r="I297" i="8"/>
  <c r="J297" i="8" s="1"/>
  <c r="I296" i="8"/>
  <c r="J296" i="8" s="1"/>
  <c r="I295" i="8"/>
  <c r="J295" i="8" s="1"/>
  <c r="I294" i="8"/>
  <c r="J294" i="8" s="1"/>
  <c r="I293" i="8"/>
  <c r="J293" i="8" s="1"/>
  <c r="I292" i="8"/>
  <c r="J292" i="8" s="1"/>
  <c r="I291" i="8"/>
  <c r="J291" i="8" s="1"/>
  <c r="I290" i="8"/>
  <c r="J290" i="8" s="1"/>
  <c r="I289" i="8"/>
  <c r="J289" i="8" s="1"/>
  <c r="I288" i="8"/>
  <c r="J288" i="8" s="1"/>
  <c r="I287" i="8"/>
  <c r="J287" i="8" s="1"/>
  <c r="I286" i="8"/>
  <c r="J286" i="8" s="1"/>
  <c r="I285" i="8"/>
  <c r="J285" i="8" s="1"/>
  <c r="I284" i="8"/>
  <c r="J284" i="8" s="1"/>
  <c r="I283" i="8"/>
  <c r="J283" i="8" s="1"/>
  <c r="I282" i="8"/>
  <c r="J282" i="8" s="1"/>
  <c r="I281" i="8"/>
  <c r="J281" i="8" s="1"/>
  <c r="I280" i="8"/>
  <c r="J280" i="8" s="1"/>
  <c r="I279" i="8"/>
  <c r="J279" i="8" s="1"/>
  <c r="I278" i="8"/>
  <c r="J278" i="8" s="1"/>
  <c r="I277" i="8"/>
  <c r="J277" i="8" s="1"/>
  <c r="I276" i="8"/>
  <c r="J276" i="8" s="1"/>
  <c r="I275" i="8"/>
  <c r="J275" i="8" s="1"/>
  <c r="I274" i="8"/>
  <c r="J274" i="8" s="1"/>
  <c r="I273" i="8"/>
  <c r="J273" i="8" s="1"/>
  <c r="I272" i="8"/>
  <c r="J272" i="8" s="1"/>
  <c r="I271" i="8"/>
  <c r="J271" i="8" s="1"/>
  <c r="I270" i="8"/>
  <c r="J270" i="8" s="1"/>
  <c r="I269" i="8"/>
  <c r="J269" i="8" s="1"/>
  <c r="I268" i="8"/>
  <c r="J268" i="8" s="1"/>
  <c r="I267" i="8"/>
  <c r="J267" i="8" s="1"/>
  <c r="I266" i="8"/>
  <c r="J266" i="8" s="1"/>
  <c r="I265" i="8"/>
  <c r="J265" i="8" s="1"/>
  <c r="I264" i="8"/>
  <c r="J264" i="8" s="1"/>
  <c r="I263" i="8"/>
  <c r="J263" i="8" s="1"/>
  <c r="I262" i="8"/>
  <c r="J262" i="8" s="1"/>
  <c r="I261" i="8"/>
  <c r="J261" i="8" s="1"/>
  <c r="I260" i="8"/>
  <c r="J260" i="8" s="1"/>
  <c r="I259" i="8"/>
  <c r="J259" i="8" s="1"/>
  <c r="I258" i="8"/>
  <c r="J258" i="8" s="1"/>
  <c r="I257" i="8"/>
  <c r="J257" i="8" s="1"/>
  <c r="I256" i="8"/>
  <c r="J256" i="8" s="1"/>
  <c r="I255" i="8"/>
  <c r="J255" i="8" s="1"/>
  <c r="I254" i="8"/>
  <c r="J254" i="8" s="1"/>
  <c r="I253" i="8"/>
  <c r="J253" i="8" s="1"/>
  <c r="I252" i="8"/>
  <c r="J252" i="8" s="1"/>
  <c r="I251" i="8"/>
  <c r="J251" i="8" s="1"/>
  <c r="I250" i="8"/>
  <c r="J250" i="8" s="1"/>
  <c r="I249" i="8"/>
  <c r="J249" i="8" s="1"/>
  <c r="I248" i="8"/>
  <c r="J248" i="8" s="1"/>
  <c r="I247" i="8"/>
  <c r="J247" i="8" s="1"/>
  <c r="I246" i="8"/>
  <c r="J246" i="8" s="1"/>
  <c r="I245" i="8"/>
  <c r="J245" i="8" s="1"/>
  <c r="I244" i="8"/>
  <c r="J244" i="8" s="1"/>
  <c r="I243" i="8"/>
  <c r="J243" i="8" s="1"/>
  <c r="I242" i="8"/>
  <c r="J242" i="8" s="1"/>
  <c r="I241" i="8"/>
  <c r="J241" i="8" s="1"/>
  <c r="I240" i="8"/>
  <c r="J240" i="8" s="1"/>
  <c r="I239" i="8"/>
  <c r="J239" i="8" s="1"/>
  <c r="I238" i="8"/>
  <c r="J238" i="8" s="1"/>
  <c r="I237" i="8"/>
  <c r="J237" i="8" s="1"/>
  <c r="I236" i="8"/>
  <c r="J236" i="8" s="1"/>
  <c r="I235" i="8"/>
  <c r="J235" i="8" s="1"/>
  <c r="I234" i="8"/>
  <c r="J234" i="8" s="1"/>
  <c r="I233" i="8"/>
  <c r="J233" i="8" s="1"/>
  <c r="I232" i="8"/>
  <c r="J232" i="8" s="1"/>
  <c r="I231" i="8"/>
  <c r="J231" i="8" s="1"/>
  <c r="I230" i="8"/>
  <c r="J230" i="8" s="1"/>
  <c r="I229" i="8"/>
  <c r="J229" i="8" s="1"/>
  <c r="I228" i="8"/>
  <c r="J228" i="8" s="1"/>
  <c r="I227" i="8"/>
  <c r="J227" i="8" s="1"/>
  <c r="I226" i="8"/>
  <c r="J226" i="8" s="1"/>
  <c r="I225" i="8"/>
  <c r="J225" i="8" s="1"/>
  <c r="I224" i="8"/>
  <c r="J224" i="8" s="1"/>
  <c r="I223" i="8"/>
  <c r="J223" i="8" s="1"/>
  <c r="I222" i="8"/>
  <c r="J222" i="8" s="1"/>
  <c r="I221" i="8"/>
  <c r="J221" i="8" s="1"/>
  <c r="I220" i="8"/>
  <c r="J220" i="8" s="1"/>
  <c r="I219" i="8"/>
  <c r="J219" i="8" s="1"/>
  <c r="I218" i="8"/>
  <c r="J218" i="8" s="1"/>
  <c r="I217" i="8"/>
  <c r="J217" i="8" s="1"/>
  <c r="I216" i="8"/>
  <c r="J216" i="8" s="1"/>
  <c r="I215" i="8"/>
  <c r="J215" i="8" s="1"/>
  <c r="I214" i="8"/>
  <c r="J214" i="8" s="1"/>
  <c r="I213" i="8"/>
  <c r="J213" i="8" s="1"/>
  <c r="I212" i="8"/>
  <c r="J212" i="8" s="1"/>
  <c r="I211" i="8"/>
  <c r="J211" i="8" s="1"/>
  <c r="I210" i="8"/>
  <c r="J210" i="8" s="1"/>
  <c r="I209" i="8"/>
  <c r="J209" i="8" s="1"/>
  <c r="I208" i="8"/>
  <c r="J208" i="8" s="1"/>
  <c r="I207" i="8"/>
  <c r="J207" i="8" s="1"/>
  <c r="I206" i="8"/>
  <c r="J206" i="8" s="1"/>
  <c r="I205" i="8"/>
  <c r="J205" i="8" s="1"/>
  <c r="I204" i="8"/>
  <c r="J204" i="8" s="1"/>
  <c r="I203" i="8"/>
  <c r="J203" i="8" s="1"/>
  <c r="I202" i="8"/>
  <c r="J202" i="8" s="1"/>
  <c r="I201" i="8"/>
  <c r="J201" i="8" s="1"/>
  <c r="I200" i="8"/>
  <c r="J200" i="8" s="1"/>
  <c r="I199" i="8"/>
  <c r="J199" i="8" s="1"/>
  <c r="I198" i="8"/>
  <c r="J198" i="8" s="1"/>
  <c r="I197" i="8"/>
  <c r="J197" i="8" s="1"/>
  <c r="I196" i="8"/>
  <c r="J196" i="8" s="1"/>
  <c r="I195" i="8"/>
  <c r="J195" i="8" s="1"/>
  <c r="I194" i="8"/>
  <c r="J194" i="8" s="1"/>
  <c r="I193" i="8"/>
  <c r="J193" i="8" s="1"/>
  <c r="I192" i="8"/>
  <c r="J192" i="8" s="1"/>
  <c r="I191" i="8"/>
  <c r="J191" i="8" s="1"/>
  <c r="I190" i="8"/>
  <c r="J190" i="8" s="1"/>
  <c r="I189" i="8"/>
  <c r="J189" i="8" s="1"/>
  <c r="I188" i="8"/>
  <c r="J188" i="8" s="1"/>
  <c r="I187" i="8"/>
  <c r="J187" i="8" s="1"/>
  <c r="I186" i="8"/>
  <c r="J186" i="8" s="1"/>
  <c r="I185" i="8"/>
  <c r="J185" i="8" s="1"/>
  <c r="I184" i="8"/>
  <c r="J184" i="8" s="1"/>
  <c r="I183" i="8"/>
  <c r="J183" i="8" s="1"/>
  <c r="I182" i="8"/>
  <c r="J182" i="8" s="1"/>
  <c r="I181" i="8"/>
  <c r="J181" i="8" s="1"/>
  <c r="I180" i="8"/>
  <c r="J180" i="8" s="1"/>
  <c r="I179" i="8"/>
  <c r="J179" i="8" s="1"/>
  <c r="I178" i="8"/>
  <c r="J178" i="8" s="1"/>
  <c r="I177" i="8"/>
  <c r="J177" i="8" s="1"/>
  <c r="I176" i="8"/>
  <c r="J176" i="8" s="1"/>
  <c r="I175" i="8"/>
  <c r="J175" i="8" s="1"/>
  <c r="I174" i="8"/>
  <c r="J174" i="8" s="1"/>
  <c r="I173" i="8"/>
  <c r="J173" i="8" s="1"/>
  <c r="I172" i="8"/>
  <c r="J172" i="8" s="1"/>
  <c r="I171" i="8"/>
  <c r="J171" i="8" s="1"/>
  <c r="I170" i="8"/>
  <c r="J170" i="8" s="1"/>
  <c r="I169" i="8"/>
  <c r="J169" i="8" s="1"/>
  <c r="I168" i="8"/>
  <c r="J168" i="8" s="1"/>
  <c r="I167" i="8"/>
  <c r="J167" i="8" s="1"/>
  <c r="I166" i="8"/>
  <c r="J166" i="8" s="1"/>
  <c r="I165" i="8"/>
  <c r="J165" i="8" s="1"/>
  <c r="I164" i="8"/>
  <c r="J164" i="8" s="1"/>
  <c r="I163" i="8"/>
  <c r="J163" i="8" s="1"/>
  <c r="I162" i="8"/>
  <c r="J162" i="8" s="1"/>
  <c r="I161" i="8"/>
  <c r="J161" i="8" s="1"/>
  <c r="I160" i="8"/>
  <c r="J160" i="8" s="1"/>
  <c r="I159" i="8"/>
  <c r="J159" i="8" s="1"/>
  <c r="I158" i="8"/>
  <c r="J158" i="8" s="1"/>
  <c r="I157" i="8"/>
  <c r="J157" i="8" s="1"/>
  <c r="I156" i="8"/>
  <c r="J156" i="8" s="1"/>
  <c r="I155" i="8"/>
  <c r="J155" i="8" s="1"/>
  <c r="I154" i="8"/>
  <c r="J154" i="8" s="1"/>
  <c r="I153" i="8"/>
  <c r="J153" i="8" s="1"/>
  <c r="I152" i="8"/>
  <c r="J152" i="8" s="1"/>
  <c r="I151" i="8"/>
  <c r="J151" i="8" s="1"/>
  <c r="I150" i="8"/>
  <c r="J150" i="8" s="1"/>
  <c r="I149" i="8"/>
  <c r="J149" i="8" s="1"/>
  <c r="I148" i="8"/>
  <c r="J148" i="8" s="1"/>
  <c r="I147" i="8"/>
  <c r="J147" i="8" s="1"/>
  <c r="I146" i="8"/>
  <c r="J146" i="8" s="1"/>
  <c r="I145" i="8"/>
  <c r="J145" i="8" s="1"/>
  <c r="I144" i="8"/>
  <c r="J144" i="8" s="1"/>
  <c r="I143" i="8"/>
  <c r="J143" i="8" s="1"/>
  <c r="I142" i="8"/>
  <c r="J142" i="8" s="1"/>
  <c r="I141" i="8"/>
  <c r="J141" i="8" s="1"/>
  <c r="I140" i="8"/>
  <c r="J140" i="8" s="1"/>
  <c r="I139" i="8"/>
  <c r="J139" i="8" s="1"/>
  <c r="I138" i="8"/>
  <c r="J138" i="8" s="1"/>
  <c r="I137" i="8"/>
  <c r="J137" i="8" s="1"/>
  <c r="I136" i="8"/>
  <c r="J136" i="8" s="1"/>
  <c r="I135" i="8"/>
  <c r="J135" i="8" s="1"/>
  <c r="I134" i="8"/>
  <c r="J134" i="8" s="1"/>
  <c r="I133" i="8"/>
  <c r="J133" i="8" s="1"/>
  <c r="I132" i="8"/>
  <c r="J132" i="8" s="1"/>
  <c r="I131" i="8"/>
  <c r="J131" i="8" s="1"/>
  <c r="I130" i="8"/>
  <c r="J130" i="8" s="1"/>
  <c r="I129" i="8"/>
  <c r="J129" i="8" s="1"/>
  <c r="I128" i="8"/>
  <c r="J128" i="8" s="1"/>
  <c r="I127" i="8"/>
  <c r="J127" i="8" s="1"/>
  <c r="I126" i="8"/>
  <c r="J126" i="8" s="1"/>
  <c r="I125" i="8"/>
  <c r="J125" i="8" s="1"/>
  <c r="I124" i="8"/>
  <c r="J124" i="8" s="1"/>
  <c r="I123" i="8"/>
  <c r="J123" i="8" s="1"/>
  <c r="I122" i="8"/>
  <c r="J122" i="8" s="1"/>
  <c r="I121" i="8"/>
  <c r="J121" i="8" s="1"/>
  <c r="I120" i="8"/>
  <c r="J120" i="8" s="1"/>
  <c r="I119" i="8"/>
  <c r="J119" i="8" s="1"/>
  <c r="I118" i="8"/>
  <c r="J118" i="8" s="1"/>
  <c r="I117" i="8"/>
  <c r="J117" i="8" s="1"/>
  <c r="I116" i="8"/>
  <c r="J116" i="8" s="1"/>
  <c r="I115" i="8"/>
  <c r="J115" i="8" s="1"/>
  <c r="I114" i="8"/>
  <c r="J114" i="8" s="1"/>
  <c r="I113" i="8"/>
  <c r="J113" i="8" s="1"/>
  <c r="I112" i="8"/>
  <c r="J112" i="8" s="1"/>
  <c r="I111" i="8"/>
  <c r="J111" i="8" s="1"/>
  <c r="I110" i="8"/>
  <c r="J110" i="8" s="1"/>
  <c r="I109" i="8"/>
  <c r="J109" i="8" s="1"/>
  <c r="I108" i="8"/>
  <c r="J108" i="8" s="1"/>
  <c r="I107" i="8"/>
  <c r="J107" i="8" s="1"/>
  <c r="I106" i="8"/>
  <c r="J106" i="8" s="1"/>
  <c r="I105" i="8"/>
  <c r="J105" i="8" s="1"/>
  <c r="I104" i="8"/>
  <c r="J104" i="8" s="1"/>
  <c r="I103" i="8"/>
  <c r="J103" i="8" s="1"/>
  <c r="I102" i="8"/>
  <c r="J102" i="8" s="1"/>
  <c r="I101" i="8"/>
  <c r="J101" i="8" s="1"/>
  <c r="I100" i="8"/>
  <c r="J100" i="8" s="1"/>
  <c r="I99" i="8"/>
  <c r="J99" i="8" s="1"/>
  <c r="I98" i="8"/>
  <c r="J98" i="8" s="1"/>
  <c r="I97" i="8"/>
  <c r="J97" i="8" s="1"/>
  <c r="I96" i="8"/>
  <c r="J96" i="8" s="1"/>
  <c r="I95" i="8"/>
  <c r="J95" i="8" s="1"/>
  <c r="I94" i="8"/>
  <c r="J94" i="8" s="1"/>
  <c r="I93" i="8"/>
  <c r="J93" i="8" s="1"/>
  <c r="I92" i="8"/>
  <c r="J92" i="8" s="1"/>
  <c r="I91" i="8"/>
  <c r="J91" i="8" s="1"/>
  <c r="I90" i="8"/>
  <c r="J90" i="8" s="1"/>
  <c r="I89" i="8"/>
  <c r="J89" i="8" s="1"/>
  <c r="I88" i="8"/>
  <c r="J88" i="8" s="1"/>
  <c r="I87" i="8"/>
  <c r="J87" i="8" s="1"/>
  <c r="I86" i="8"/>
  <c r="J86" i="8" s="1"/>
  <c r="I85" i="8"/>
  <c r="J85" i="8" s="1"/>
  <c r="I84" i="8"/>
  <c r="J84" i="8" s="1"/>
  <c r="I83" i="8"/>
  <c r="J83" i="8" s="1"/>
  <c r="I82" i="8"/>
  <c r="J82" i="8" s="1"/>
  <c r="I81" i="8"/>
  <c r="J81" i="8" s="1"/>
  <c r="I80" i="8"/>
  <c r="J80" i="8" s="1"/>
  <c r="I79" i="8"/>
  <c r="J79" i="8" s="1"/>
  <c r="I78" i="8"/>
  <c r="J78" i="8" s="1"/>
  <c r="I77" i="8"/>
  <c r="J77" i="8" s="1"/>
  <c r="I76" i="8"/>
  <c r="J76" i="8" s="1"/>
  <c r="I75" i="8"/>
  <c r="J75" i="8" s="1"/>
  <c r="I74" i="8"/>
  <c r="J74" i="8" s="1"/>
  <c r="I73" i="8"/>
  <c r="J73" i="8" s="1"/>
  <c r="I72" i="8"/>
  <c r="J72" i="8" s="1"/>
  <c r="I71" i="8"/>
  <c r="J71" i="8" s="1"/>
  <c r="I70" i="8"/>
  <c r="J70" i="8" s="1"/>
  <c r="I69" i="8"/>
  <c r="J69" i="8" s="1"/>
  <c r="I68" i="8"/>
  <c r="J68" i="8" s="1"/>
  <c r="I67" i="8"/>
  <c r="J67" i="8" s="1"/>
  <c r="I66" i="8"/>
  <c r="J66" i="8" s="1"/>
  <c r="I65" i="8"/>
  <c r="J65" i="8" s="1"/>
  <c r="I64" i="8"/>
  <c r="J64" i="8" s="1"/>
  <c r="I63" i="8"/>
  <c r="J63" i="8" s="1"/>
  <c r="I62" i="8"/>
  <c r="J62" i="8" s="1"/>
  <c r="I61" i="8"/>
  <c r="J61" i="8" s="1"/>
  <c r="I60" i="8"/>
  <c r="J60" i="8" s="1"/>
  <c r="I59" i="8"/>
  <c r="J59" i="8" s="1"/>
  <c r="I58" i="8"/>
  <c r="J58" i="8" s="1"/>
  <c r="I57" i="8"/>
  <c r="J57" i="8" s="1"/>
  <c r="I56" i="8"/>
  <c r="J56" i="8" s="1"/>
  <c r="I55" i="8"/>
  <c r="J55" i="8" s="1"/>
  <c r="I54" i="8"/>
  <c r="J54" i="8" s="1"/>
  <c r="I53" i="8"/>
  <c r="J53" i="8" s="1"/>
  <c r="I52" i="8"/>
  <c r="J52" i="8" s="1"/>
  <c r="I51" i="8"/>
  <c r="J51" i="8" s="1"/>
  <c r="I50" i="8"/>
  <c r="J50" i="8" s="1"/>
  <c r="I49" i="8"/>
  <c r="J49" i="8" s="1"/>
  <c r="I48" i="8"/>
  <c r="J48" i="8" s="1"/>
  <c r="I47" i="8"/>
  <c r="J47" i="8" s="1"/>
  <c r="I46" i="8"/>
  <c r="J46" i="8" s="1"/>
  <c r="I45" i="8"/>
  <c r="J45" i="8" s="1"/>
  <c r="I44" i="8"/>
  <c r="J44" i="8" s="1"/>
  <c r="I43" i="8"/>
  <c r="J43" i="8" s="1"/>
  <c r="I42" i="8"/>
  <c r="J42" i="8" s="1"/>
  <c r="I41" i="8"/>
  <c r="J41" i="8" s="1"/>
  <c r="I40" i="8"/>
  <c r="J40" i="8" s="1"/>
  <c r="I39" i="8"/>
  <c r="J39" i="8" s="1"/>
  <c r="I38" i="8"/>
  <c r="J38" i="8" s="1"/>
  <c r="I37" i="8"/>
  <c r="J37" i="8" s="1"/>
  <c r="I36" i="8"/>
  <c r="J36" i="8" s="1"/>
  <c r="I35" i="8"/>
  <c r="J35" i="8" s="1"/>
  <c r="I34" i="8"/>
  <c r="J34" i="8" s="1"/>
  <c r="I33" i="8"/>
  <c r="J33" i="8" s="1"/>
  <c r="I32" i="8"/>
  <c r="J32" i="8" s="1"/>
  <c r="I31" i="8"/>
  <c r="J31" i="8" s="1"/>
  <c r="I30" i="8"/>
  <c r="J30" i="8" s="1"/>
  <c r="I29" i="8"/>
  <c r="J29" i="8" s="1"/>
  <c r="I28" i="8"/>
  <c r="J28" i="8" s="1"/>
  <c r="I27" i="8"/>
  <c r="J27" i="8" s="1"/>
  <c r="I26" i="8"/>
  <c r="J26" i="8" s="1"/>
  <c r="I25" i="8"/>
  <c r="J25" i="8" s="1"/>
  <c r="I23" i="8"/>
  <c r="J23" i="8" s="1"/>
  <c r="I22" i="8"/>
  <c r="J22" i="8" s="1"/>
  <c r="I21" i="8"/>
  <c r="J21" i="8" s="1"/>
  <c r="I20" i="8"/>
  <c r="J20" i="8" s="1"/>
  <c r="I19" i="8"/>
  <c r="J19" i="8" s="1"/>
  <c r="I18" i="8"/>
  <c r="J18" i="8" s="1"/>
  <c r="I17" i="8"/>
  <c r="J17" i="8" s="1"/>
  <c r="I16" i="8"/>
  <c r="J16" i="8" s="1"/>
  <c r="I15" i="8"/>
  <c r="J15" i="8" s="1"/>
  <c r="I14" i="8"/>
  <c r="J14" i="8" s="1"/>
  <c r="I13" i="8"/>
  <c r="J13" i="8" s="1"/>
  <c r="I12" i="8"/>
  <c r="J12" i="8" s="1"/>
  <c r="I11" i="8"/>
  <c r="J11" i="8" s="1"/>
  <c r="I10" i="8"/>
  <c r="J10" i="8" s="1"/>
  <c r="I9" i="8"/>
  <c r="J9" i="8" s="1"/>
  <c r="I8" i="8"/>
  <c r="J8" i="8" s="1"/>
  <c r="I7" i="8"/>
  <c r="J7" i="8" s="1"/>
  <c r="I6" i="8"/>
  <c r="J6" i="8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<sst xmlns="http://schemas.openxmlformats.org/spreadsheetml/2006/main" count="368" uniqueCount="130">
  <si>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</si>
  <si>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</si>
  <si>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</si>
  <si>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</si>
  <si>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</si>
  <si>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</si>
  <si>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</si>
  <si>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</si>
  <si>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</si>
  <si>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</si>
  <si>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</si>
  <si>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</si>
  <si>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</si>
  <si>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</si>
  <si>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</si>
  <si>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</si>
  <si>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</si>
  <si>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</si>
  <si>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</si>
  <si>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</si>
  <si>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</si>
  <si>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</si>
  <si>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</si>
  <si>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</si>
  <si>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</si>
  <si>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</si>
  <si>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</si>
  <si>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</si>
  <si>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</si>
  <si>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</si>
  <si>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</si>
  <si>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</si>
  <si>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</si>
  <si>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</si>
  <si>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</si>
  <si>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</si>
  <si>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</si>
  <si>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</si>
  <si>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</si>
  <si>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</si>
  <si>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</si>
  <si>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</si>
  <si>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</si>
  <si>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</si>
  <si>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</si>
  <si>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</si>
  <si>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</si>
  <si>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</si>
  <si>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</si>
  <si>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</si>
  <si>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</si>
  <si>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</si>
  <si>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</si>
  <si>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Vithoba Gorakh Bunge</t>
  </si>
  <si>
    <t>MCA / D1P2536</t>
  </si>
  <si>
    <t xml:space="preserve"> Sleep (min)</t>
  </si>
  <si>
    <t>Neutral</t>
  </si>
  <si>
    <t xml:space="preserve">Starting new Skill to learn DSA </t>
  </si>
  <si>
    <t>Low</t>
  </si>
  <si>
    <t xml:space="preserve">Attending all lecture and learning something new . </t>
  </si>
  <si>
    <t>Unsatisfied</t>
  </si>
  <si>
    <t>Average day but bit productive</t>
  </si>
  <si>
    <t>Good Day</t>
  </si>
  <si>
    <t>Average day attending all lecture and solve some python problems and also learn about DSA.</t>
  </si>
  <si>
    <t>Today I Learn new skills.</t>
  </si>
  <si>
    <t>Excellent</t>
  </si>
  <si>
    <t>Very Satisfied</t>
  </si>
  <si>
    <t>High</t>
  </si>
  <si>
    <t>Attending  first lecture of comunication and talk in english some sentences .</t>
  </si>
  <si>
    <t>Good Day , and practicing new skills</t>
  </si>
  <si>
    <t>average day</t>
  </si>
  <si>
    <t xml:space="preserve"> normal day solving some problems</t>
  </si>
  <si>
    <t>learning new skills</t>
  </si>
  <si>
    <t>good day</t>
  </si>
  <si>
    <t>Today I go to shopping and buy some formal clothes .</t>
  </si>
  <si>
    <t>Learning about Data Analysis.</t>
  </si>
  <si>
    <t>starting study for CA .</t>
  </si>
  <si>
    <t>nothing special , regular day</t>
  </si>
  <si>
    <t>August/September</t>
  </si>
  <si>
    <t xml:space="preserve">learning about computer network for CA </t>
  </si>
  <si>
    <t>regular day</t>
  </si>
  <si>
    <t xml:space="preserve">starting preaparation about CA and main goal </t>
  </si>
  <si>
    <t>Start CA</t>
  </si>
  <si>
    <t>Nothing special just preparation for the CA</t>
  </si>
  <si>
    <t>Database CA and  I got 47 marks out of 50</t>
  </si>
  <si>
    <t>neutral day</t>
  </si>
  <si>
    <t>today add some troma in life</t>
  </si>
  <si>
    <t>preparing aptitude questions ..</t>
  </si>
  <si>
    <t>Enjoy full day and also study for some and solve DSA questions</t>
  </si>
  <si>
    <t xml:space="preserve">Solve SQL Query and Python Query and some </t>
  </si>
  <si>
    <t>Today I give CA of Python and solve some DSA type questions for the practice</t>
  </si>
  <si>
    <t xml:space="preserve">Start learning at morning </t>
  </si>
  <si>
    <t>Nothing special it's just a normal day</t>
  </si>
  <si>
    <t>Stressed</t>
  </si>
  <si>
    <t>Today I give CA of Apti..</t>
  </si>
  <si>
    <t>Starting my Minor project</t>
  </si>
  <si>
    <t>starting study for CA and also start static in data analysis</t>
  </si>
  <si>
    <t>nothing happens</t>
  </si>
  <si>
    <t>working on project also give one CA</t>
  </si>
  <si>
    <t>Today I completed my DSA chapter 3 .</t>
  </si>
  <si>
    <t>starting pattern in dsa</t>
  </si>
  <si>
    <t>Today I learning about statistics for data analysis.. And also completed my dsa chapter 4.</t>
  </si>
  <si>
    <t>Today I learn about statistics , networking and DSA . But today I saw something, that I didn't expect in this university.</t>
  </si>
  <si>
    <t>Octomber</t>
  </si>
  <si>
    <t>Today I reached home and went to farm</t>
  </si>
  <si>
    <t>Very Unsatisfied</t>
  </si>
  <si>
    <t>today I work on my college project</t>
  </si>
  <si>
    <t>very bad day compare to others day just becouse of college (LPU)</t>
  </si>
  <si>
    <t xml:space="preserve">today I travel jalandhar to home </t>
  </si>
  <si>
    <t>Today I drive a tractor after many days</t>
  </si>
  <si>
    <t>normal day but I work in farm</t>
  </si>
  <si>
    <t>good filings just because I meet my sister</t>
  </si>
  <si>
    <t>regular day but at home energy is high</t>
  </si>
  <si>
    <t>same like yesterday</t>
  </si>
  <si>
    <t>I get my bike back and enjoy the ride</t>
  </si>
  <si>
    <t>today I went to taluka and enjoy with friends</t>
  </si>
  <si>
    <t>Back to college and started study for Mid Term</t>
  </si>
  <si>
    <t xml:space="preserve">today Mid term start and sub was networking medium level  harder  </t>
  </si>
  <si>
    <t>today was cpp exam and it's very simple exam I ever give in any college</t>
  </si>
  <si>
    <t>today was database exam and it's simple but having some issue with  some querys</t>
  </si>
  <si>
    <t>today was holiday day and watch movie more than study</t>
  </si>
  <si>
    <t>today was aptii exam it's very difficult and I didn't attend all questions [ just because I didn't understand syllabus ].</t>
  </si>
  <si>
    <t>today was communication exam I give my best and I think the exam was very simple from my side I mark all questions write but let's see what happens…</t>
  </si>
  <si>
    <t>today is holiday and I started my personal study and also I think to continue my diary writing from today itself..</t>
  </si>
  <si>
    <t>today start the college routine again</t>
  </si>
  <si>
    <t>today is holiday and I learn about DSA , python also sleeping more</t>
  </si>
  <si>
    <t>nothing special but today I workout more and feels energetic also I study DSA .</t>
  </si>
  <si>
    <t>Regular day but today I have more study</t>
  </si>
  <si>
    <t>regular day but today I have more study and also i learn feature engineering.</t>
  </si>
  <si>
    <t>regular day , just workout and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</si>
</sst>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2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zoomScaleNormal="100" workbookViewId="0">
      <pane xSplit="1" ySplit="5" topLeftCell="B48" activePane="bottomRight" state="frozen"/>
      <selection pane="topRight" activeCell="B1" sqref="B1"/>
      <selection pane="bottomLeft" activeCell="A6" sqref="A6"/>
      <selection pane="bottomRight" activeCell="N53" sqref="N53"/>
    </sheetView>
  </sheetViews>
  <sheetFormatPr defaultColWidth="8.6640625" defaultRowHeight="14.4" x14ac:dyDescent="0.3"/>
  <cols>
    <col min="1" max="1" width="19.1093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12620583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78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55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48</v>
      </c>
      <c r="L6" s="11" t="s">
        <v>49</v>
      </c>
      <c r="M6" s="11" t="s">
        <v>50</v>
      </c>
      <c r="N6" s="12" t="s">
        <v>51</v>
      </c>
    </row>
    <row r="7" spans="1:14" x14ac:dyDescent="0.3">
      <c r="A7" s="13">
        <v>46251</v>
      </c>
      <c r="B7" s="14">
        <v>480</v>
      </c>
      <c r="C7" s="14">
        <v>0</v>
      </c>
      <c r="D7" s="14">
        <v>360</v>
      </c>
      <c r="E7" s="14">
        <v>60</v>
      </c>
      <c r="F7" s="14">
        <v>0</v>
      </c>
      <c r="G7" s="14">
        <v>0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48</v>
      </c>
      <c r="L7" s="16" t="s">
        <v>56</v>
      </c>
      <c r="M7" s="16" t="s">
        <v>50</v>
      </c>
      <c r="N7" s="17" t="s">
        <v>57</v>
      </c>
    </row>
    <row r="8" spans="1:14" ht="28.8" x14ac:dyDescent="0.3">
      <c r="A8" s="13">
        <v>46252</v>
      </c>
      <c r="B8" s="14">
        <v>420</v>
      </c>
      <c r="C8" s="14">
        <v>0</v>
      </c>
      <c r="D8" s="14">
        <v>240</v>
      </c>
      <c r="E8" s="14">
        <v>45</v>
      </c>
      <c r="F8" s="14">
        <v>300</v>
      </c>
      <c r="G8" s="14">
        <v>3</v>
      </c>
      <c r="H8" s="14">
        <v>240</v>
      </c>
      <c r="I8" s="15">
        <f t="shared" si="0"/>
        <v>1245</v>
      </c>
      <c r="J8" s="15">
        <f t="shared" si="1"/>
        <v>195</v>
      </c>
      <c r="K8" s="16" t="s">
        <v>56</v>
      </c>
      <c r="L8" s="16" t="s">
        <v>56</v>
      </c>
      <c r="M8" s="16" t="s">
        <v>58</v>
      </c>
      <c r="N8" s="17" t="s">
        <v>59</v>
      </c>
    </row>
    <row r="9" spans="1:14" x14ac:dyDescent="0.3">
      <c r="A9" s="13">
        <v>46253</v>
      </c>
      <c r="B9" s="14">
        <v>480</v>
      </c>
      <c r="C9" s="14">
        <v>0</v>
      </c>
      <c r="D9" s="14">
        <v>0</v>
      </c>
      <c r="E9" s="14">
        <v>0</v>
      </c>
      <c r="F9" s="14">
        <v>420</v>
      </c>
      <c r="G9" s="14">
        <v>3</v>
      </c>
      <c r="H9" s="14">
        <v>300</v>
      </c>
      <c r="I9" s="15">
        <f t="shared" si="0"/>
        <v>1200</v>
      </c>
      <c r="J9" s="15">
        <f t="shared" si="1"/>
        <v>240</v>
      </c>
      <c r="K9" s="16" t="s">
        <v>58</v>
      </c>
      <c r="L9" s="16" t="s">
        <v>60</v>
      </c>
      <c r="M9" s="16" t="s">
        <v>58</v>
      </c>
      <c r="N9" s="17" t="s">
        <v>61</v>
      </c>
    </row>
    <row r="10" spans="1:14" x14ac:dyDescent="0.3">
      <c r="A10" s="13">
        <v>46254</v>
      </c>
      <c r="B10" s="14">
        <v>400</v>
      </c>
      <c r="C10" s="14">
        <v>0</v>
      </c>
      <c r="D10" s="14">
        <v>180</v>
      </c>
      <c r="E10" s="14">
        <v>0</v>
      </c>
      <c r="F10" s="14">
        <v>360</v>
      </c>
      <c r="G10" s="14">
        <v>6</v>
      </c>
      <c r="H10" s="14">
        <v>250</v>
      </c>
      <c r="I10" s="15">
        <f t="shared" si="0"/>
        <v>1190</v>
      </c>
      <c r="J10" s="15">
        <f t="shared" si="1"/>
        <v>250</v>
      </c>
      <c r="K10" s="16" t="s">
        <v>48</v>
      </c>
      <c r="L10" s="16" t="s">
        <v>49</v>
      </c>
      <c r="M10" s="16" t="s">
        <v>50</v>
      </c>
      <c r="N10" s="17" t="s">
        <v>62</v>
      </c>
    </row>
    <row r="11" spans="1:14" ht="57.6" x14ac:dyDescent="0.3">
      <c r="A11" s="13">
        <v>46255</v>
      </c>
      <c r="B11" s="14">
        <v>450</v>
      </c>
      <c r="C11" s="14">
        <v>20</v>
      </c>
      <c r="D11" s="14">
        <v>240</v>
      </c>
      <c r="E11" s="14">
        <v>30</v>
      </c>
      <c r="F11" s="14">
        <v>360</v>
      </c>
      <c r="G11" s="14">
        <v>6</v>
      </c>
      <c r="H11" s="14">
        <v>200</v>
      </c>
      <c r="I11" s="15">
        <f t="shared" si="0"/>
        <v>1300</v>
      </c>
      <c r="J11" s="15">
        <f t="shared" si="1"/>
        <v>140</v>
      </c>
      <c r="K11" s="16" t="s">
        <v>48</v>
      </c>
      <c r="L11" s="16" t="s">
        <v>49</v>
      </c>
      <c r="M11" s="16" t="s">
        <v>50</v>
      </c>
      <c r="N11" s="17" t="s">
        <v>63</v>
      </c>
    </row>
    <row r="12" spans="1:14" x14ac:dyDescent="0.3">
      <c r="A12" s="13">
        <v>46256</v>
      </c>
      <c r="B12" s="14">
        <v>540</v>
      </c>
      <c r="C12" s="14">
        <v>0</v>
      </c>
      <c r="D12" s="14">
        <v>450</v>
      </c>
      <c r="E12" s="14">
        <v>120</v>
      </c>
      <c r="F12" s="14">
        <v>0</v>
      </c>
      <c r="G12" s="14">
        <v>0</v>
      </c>
      <c r="H12" s="14">
        <v>300</v>
      </c>
      <c r="I12" s="15">
        <f t="shared" si="0"/>
        <v>1410</v>
      </c>
      <c r="J12" s="15">
        <f t="shared" si="1"/>
        <v>30</v>
      </c>
      <c r="K12" s="16" t="s">
        <v>48</v>
      </c>
      <c r="L12" s="16" t="s">
        <v>49</v>
      </c>
      <c r="M12" s="16" t="s">
        <v>50</v>
      </c>
      <c r="N12" s="17" t="s">
        <v>64</v>
      </c>
    </row>
    <row r="13" spans="1:14" ht="28.8" x14ac:dyDescent="0.3">
      <c r="A13" s="13">
        <v>46257</v>
      </c>
      <c r="B13" s="14">
        <v>420</v>
      </c>
      <c r="C13" s="14">
        <v>30</v>
      </c>
      <c r="D13" s="14">
        <v>390</v>
      </c>
      <c r="E13" s="14">
        <v>150</v>
      </c>
      <c r="F13" s="14">
        <v>0</v>
      </c>
      <c r="G13" s="14">
        <v>0</v>
      </c>
      <c r="H13" s="14">
        <v>350</v>
      </c>
      <c r="I13" s="15">
        <f t="shared" si="0"/>
        <v>1340</v>
      </c>
      <c r="J13" s="15">
        <f t="shared" si="1"/>
        <v>100</v>
      </c>
      <c r="K13" s="16" t="s">
        <v>56</v>
      </c>
      <c r="L13" s="16" t="s">
        <v>49</v>
      </c>
      <c r="M13" s="16" t="s">
        <v>50</v>
      </c>
      <c r="N13" s="17" t="s">
        <v>69</v>
      </c>
    </row>
    <row r="14" spans="1:14" ht="43.2" x14ac:dyDescent="0.3">
      <c r="A14" s="13">
        <v>46258</v>
      </c>
      <c r="B14" s="14">
        <v>390</v>
      </c>
      <c r="C14" s="14">
        <v>0</v>
      </c>
      <c r="D14" s="14">
        <v>480</v>
      </c>
      <c r="E14" s="14">
        <v>150</v>
      </c>
      <c r="F14" s="14">
        <v>240</v>
      </c>
      <c r="G14" s="14">
        <v>4</v>
      </c>
      <c r="H14" s="14">
        <v>180</v>
      </c>
      <c r="I14" s="15">
        <f t="shared" si="0"/>
        <v>1440</v>
      </c>
      <c r="J14" s="15">
        <f t="shared" si="1"/>
        <v>0</v>
      </c>
      <c r="K14" s="16" t="s">
        <v>65</v>
      </c>
      <c r="L14" s="16" t="s">
        <v>66</v>
      </c>
      <c r="M14" s="16" t="s">
        <v>67</v>
      </c>
      <c r="N14" s="17" t="s">
        <v>68</v>
      </c>
    </row>
    <row r="15" spans="1:14" x14ac:dyDescent="0.3">
      <c r="A15" s="13">
        <v>46259</v>
      </c>
      <c r="B15" s="14">
        <v>420</v>
      </c>
      <c r="C15" s="14">
        <v>20</v>
      </c>
      <c r="D15" s="14">
        <v>450</v>
      </c>
      <c r="E15" s="14">
        <v>70</v>
      </c>
      <c r="F15" s="14">
        <v>360</v>
      </c>
      <c r="G15" s="14">
        <v>6</v>
      </c>
      <c r="H15" s="14">
        <v>100</v>
      </c>
      <c r="I15" s="15">
        <f t="shared" si="0"/>
        <v>1420</v>
      </c>
      <c r="J15" s="15">
        <f t="shared" si="1"/>
        <v>20</v>
      </c>
      <c r="K15" s="16" t="s">
        <v>48</v>
      </c>
      <c r="L15" s="16" t="s">
        <v>56</v>
      </c>
      <c r="M15" s="16" t="s">
        <v>50</v>
      </c>
      <c r="N15" s="17" t="s">
        <v>70</v>
      </c>
    </row>
    <row r="16" spans="1:14" ht="28.8" x14ac:dyDescent="0.3">
      <c r="A16" s="13">
        <v>46260</v>
      </c>
      <c r="B16" s="14">
        <v>420</v>
      </c>
      <c r="C16" s="14">
        <v>30</v>
      </c>
      <c r="D16" s="14">
        <v>400</v>
      </c>
      <c r="E16" s="14">
        <v>100</v>
      </c>
      <c r="F16" s="14">
        <v>360</v>
      </c>
      <c r="G16" s="14">
        <v>6</v>
      </c>
      <c r="H16" s="14">
        <v>100</v>
      </c>
      <c r="I16" s="15">
        <f t="shared" si="0"/>
        <v>1410</v>
      </c>
      <c r="J16" s="15">
        <f t="shared" si="1"/>
        <v>30</v>
      </c>
      <c r="K16" s="16" t="s">
        <v>48</v>
      </c>
      <c r="L16" s="16" t="s">
        <v>49</v>
      </c>
      <c r="M16" s="16" t="s">
        <v>50</v>
      </c>
      <c r="N16" s="17" t="s">
        <v>71</v>
      </c>
    </row>
    <row r="17" spans="1:14" x14ac:dyDescent="0.3">
      <c r="A17" s="13">
        <v>46261</v>
      </c>
      <c r="B17" s="14">
        <v>300</v>
      </c>
      <c r="C17" s="14">
        <v>30</v>
      </c>
      <c r="D17" s="14">
        <v>300</v>
      </c>
      <c r="E17" s="14">
        <v>120</v>
      </c>
      <c r="F17" s="14">
        <v>360</v>
      </c>
      <c r="G17" s="14">
        <v>6</v>
      </c>
      <c r="H17" s="14">
        <v>300</v>
      </c>
      <c r="I17" s="15">
        <f t="shared" si="0"/>
        <v>1410</v>
      </c>
      <c r="J17" s="15">
        <f t="shared" si="1"/>
        <v>30</v>
      </c>
      <c r="K17" s="16" t="s">
        <v>65</v>
      </c>
      <c r="L17" s="16" t="s">
        <v>49</v>
      </c>
      <c r="M17" s="16" t="s">
        <v>50</v>
      </c>
      <c r="N17" s="17" t="s">
        <v>72</v>
      </c>
    </row>
    <row r="18" spans="1:14" x14ac:dyDescent="0.3">
      <c r="A18" s="13">
        <v>46262</v>
      </c>
      <c r="B18" s="14">
        <v>420</v>
      </c>
      <c r="C18" s="14">
        <v>0</v>
      </c>
      <c r="D18" s="14">
        <v>250</v>
      </c>
      <c r="E18" s="14">
        <v>60</v>
      </c>
      <c r="F18" s="14">
        <v>420</v>
      </c>
      <c r="G18" s="14">
        <v>7</v>
      </c>
      <c r="H18" s="14">
        <v>250</v>
      </c>
      <c r="I18" s="15">
        <f t="shared" si="0"/>
        <v>1400</v>
      </c>
      <c r="J18" s="15">
        <f t="shared" si="1"/>
        <v>40</v>
      </c>
      <c r="K18" s="16" t="s">
        <v>56</v>
      </c>
      <c r="L18" s="16" t="s">
        <v>56</v>
      </c>
      <c r="M18" s="16" t="s">
        <v>67</v>
      </c>
      <c r="N18" s="17" t="s">
        <v>73</v>
      </c>
    </row>
    <row r="19" spans="1:14" ht="28.8" x14ac:dyDescent="0.3">
      <c r="A19" s="13">
        <v>46263</v>
      </c>
      <c r="B19" s="14">
        <v>300</v>
      </c>
      <c r="C19" s="14">
        <v>0</v>
      </c>
      <c r="D19" s="14">
        <v>200</v>
      </c>
      <c r="E19" s="14">
        <v>0</v>
      </c>
      <c r="F19" s="14">
        <v>0</v>
      </c>
      <c r="G19" s="14">
        <v>0</v>
      </c>
      <c r="H19" s="14">
        <v>900</v>
      </c>
      <c r="I19" s="15">
        <f t="shared" si="0"/>
        <v>1400</v>
      </c>
      <c r="J19" s="15">
        <f t="shared" si="1"/>
        <v>40</v>
      </c>
      <c r="K19" s="16" t="s">
        <v>65</v>
      </c>
      <c r="L19" s="16" t="s">
        <v>66</v>
      </c>
      <c r="M19" s="16" t="s">
        <v>67</v>
      </c>
      <c r="N19" s="17" t="s">
        <v>74</v>
      </c>
    </row>
    <row r="20" spans="1:14" x14ac:dyDescent="0.3">
      <c r="A20" s="13">
        <v>46264</v>
      </c>
      <c r="B20" s="14">
        <v>350</v>
      </c>
      <c r="C20" s="14">
        <v>30</v>
      </c>
      <c r="D20" s="14">
        <v>360</v>
      </c>
      <c r="E20" s="14">
        <v>120</v>
      </c>
      <c r="F20" s="14">
        <v>0</v>
      </c>
      <c r="G20" s="14">
        <v>0</v>
      </c>
      <c r="H20" s="14">
        <v>550</v>
      </c>
      <c r="I20" s="15">
        <f t="shared" si="0"/>
        <v>1410</v>
      </c>
      <c r="J20" s="15">
        <f t="shared" si="1"/>
        <v>30</v>
      </c>
      <c r="K20" s="16" t="s">
        <v>48</v>
      </c>
      <c r="L20" s="16" t="s">
        <v>49</v>
      </c>
      <c r="M20" s="16" t="s">
        <v>50</v>
      </c>
      <c r="N20" s="17" t="s">
        <v>75</v>
      </c>
    </row>
    <row r="21" spans="1:14" x14ac:dyDescent="0.3">
      <c r="A21" s="13">
        <v>46265</v>
      </c>
      <c r="B21" s="14">
        <v>420</v>
      </c>
      <c r="C21" s="14">
        <v>0</v>
      </c>
      <c r="D21" s="14">
        <v>450</v>
      </c>
      <c r="E21" s="14">
        <v>120</v>
      </c>
      <c r="F21" s="14">
        <v>120</v>
      </c>
      <c r="G21" s="14">
        <v>2</v>
      </c>
      <c r="H21" s="14">
        <v>300</v>
      </c>
      <c r="I21" s="15">
        <f t="shared" si="0"/>
        <v>1410</v>
      </c>
      <c r="J21" s="15">
        <f t="shared" si="1"/>
        <v>30</v>
      </c>
      <c r="K21" s="16" t="s">
        <v>48</v>
      </c>
      <c r="L21" s="16" t="s">
        <v>49</v>
      </c>
      <c r="M21" s="16" t="s">
        <v>50</v>
      </c>
      <c r="N21" s="17" t="s">
        <v>76</v>
      </c>
    </row>
    <row r="22" spans="1:14" x14ac:dyDescent="0.3">
      <c r="A22" s="13">
        <v>46266</v>
      </c>
      <c r="B22" s="14">
        <v>360</v>
      </c>
      <c r="C22" s="14">
        <v>30</v>
      </c>
      <c r="D22" s="14">
        <v>180</v>
      </c>
      <c r="E22" s="14">
        <v>30</v>
      </c>
      <c r="F22" s="14">
        <v>360</v>
      </c>
      <c r="G22" s="14">
        <v>5</v>
      </c>
      <c r="H22" s="14">
        <v>480</v>
      </c>
      <c r="I22" s="15">
        <f t="shared" si="0"/>
        <v>1440</v>
      </c>
      <c r="J22" s="15">
        <f t="shared" si="1"/>
        <v>0</v>
      </c>
      <c r="K22" s="16" t="s">
        <v>48</v>
      </c>
      <c r="L22" s="16" t="s">
        <v>49</v>
      </c>
      <c r="M22" s="16" t="s">
        <v>50</v>
      </c>
      <c r="N22" s="17" t="s">
        <v>77</v>
      </c>
    </row>
    <row r="23" spans="1:14" ht="28.8" x14ac:dyDescent="0.3">
      <c r="A23" s="13">
        <v>46267</v>
      </c>
      <c r="B23" s="14">
        <v>360</v>
      </c>
      <c r="C23" s="14">
        <v>0</v>
      </c>
      <c r="D23" s="14">
        <v>200</v>
      </c>
      <c r="E23" s="14">
        <v>60</v>
      </c>
      <c r="F23" s="14">
        <v>360</v>
      </c>
      <c r="G23" s="14">
        <v>5</v>
      </c>
      <c r="H23" s="14">
        <v>460</v>
      </c>
      <c r="I23" s="15">
        <f t="shared" si="0"/>
        <v>1440</v>
      </c>
      <c r="J23" s="15">
        <f t="shared" si="1"/>
        <v>0</v>
      </c>
      <c r="K23" s="16" t="s">
        <v>48</v>
      </c>
      <c r="L23" s="16" t="s">
        <v>49</v>
      </c>
      <c r="M23" s="16" t="s">
        <v>67</v>
      </c>
      <c r="N23" s="17" t="s">
        <v>79</v>
      </c>
    </row>
    <row r="24" spans="1:14" x14ac:dyDescent="0.3">
      <c r="A24" s="13">
        <v>46268</v>
      </c>
      <c r="B24" s="14">
        <v>327</v>
      </c>
      <c r="C24" s="14">
        <v>0</v>
      </c>
      <c r="D24" s="14">
        <v>300</v>
      </c>
      <c r="E24" s="14">
        <v>60</v>
      </c>
      <c r="F24" s="14">
        <v>360</v>
      </c>
      <c r="G24" s="14">
        <v>6</v>
      </c>
      <c r="H24" s="14">
        <v>390</v>
      </c>
      <c r="I24" s="15">
        <f t="shared" si="0"/>
        <v>1437</v>
      </c>
      <c r="J24" s="15">
        <f t="shared" si="1"/>
        <v>3</v>
      </c>
      <c r="K24" s="16" t="s">
        <v>56</v>
      </c>
      <c r="L24" s="16" t="s">
        <v>56</v>
      </c>
      <c r="M24" s="16" t="s">
        <v>50</v>
      </c>
      <c r="N24" s="17" t="s">
        <v>80</v>
      </c>
    </row>
    <row r="25" spans="1:14" ht="28.8" x14ac:dyDescent="0.3">
      <c r="A25" s="13">
        <v>46269</v>
      </c>
      <c r="B25" s="14">
        <v>387</v>
      </c>
      <c r="C25" s="14">
        <v>0</v>
      </c>
      <c r="D25" s="14">
        <v>300</v>
      </c>
      <c r="E25" s="14">
        <v>120</v>
      </c>
      <c r="F25" s="14">
        <v>420</v>
      </c>
      <c r="G25" s="14">
        <v>7</v>
      </c>
      <c r="H25" s="14">
        <v>200</v>
      </c>
      <c r="I25" s="15">
        <f t="shared" si="0"/>
        <v>1427</v>
      </c>
      <c r="J25" s="15">
        <f t="shared" si="1"/>
        <v>13</v>
      </c>
      <c r="K25" s="16" t="s">
        <v>48</v>
      </c>
      <c r="L25" s="16" t="s">
        <v>49</v>
      </c>
      <c r="M25" s="16" t="s">
        <v>50</v>
      </c>
      <c r="N25" s="17" t="s">
        <v>81</v>
      </c>
    </row>
    <row r="26" spans="1:14" x14ac:dyDescent="0.3">
      <c r="A26" s="13">
        <v>46270</v>
      </c>
      <c r="B26" s="14">
        <v>300</v>
      </c>
      <c r="C26" s="14">
        <v>20</v>
      </c>
      <c r="D26" s="14">
        <v>360</v>
      </c>
      <c r="E26" s="14">
        <v>60</v>
      </c>
      <c r="F26" s="14">
        <v>240</v>
      </c>
      <c r="G26" s="14">
        <v>4</v>
      </c>
      <c r="H26" s="14">
        <v>460</v>
      </c>
      <c r="I26" s="15">
        <f t="shared" si="0"/>
        <v>1440</v>
      </c>
      <c r="J26" s="15">
        <f t="shared" si="1"/>
        <v>0</v>
      </c>
      <c r="K26" s="16" t="s">
        <v>56</v>
      </c>
      <c r="L26" s="16" t="s">
        <v>49</v>
      </c>
      <c r="M26" s="16" t="s">
        <v>50</v>
      </c>
      <c r="N26" s="17" t="s">
        <v>76</v>
      </c>
    </row>
    <row r="27" spans="1:14" ht="28.8" x14ac:dyDescent="0.3">
      <c r="A27" s="13">
        <v>46271</v>
      </c>
      <c r="B27" s="14">
        <v>320</v>
      </c>
      <c r="C27" s="14">
        <v>50</v>
      </c>
      <c r="D27" s="14">
        <v>360</v>
      </c>
      <c r="E27" s="14">
        <v>120</v>
      </c>
      <c r="F27" s="14">
        <v>300</v>
      </c>
      <c r="G27" s="14">
        <v>5</v>
      </c>
      <c r="H27" s="14">
        <v>290</v>
      </c>
      <c r="I27" s="15">
        <f t="shared" si="0"/>
        <v>1440</v>
      </c>
      <c r="J27" s="15">
        <f t="shared" si="1"/>
        <v>0</v>
      </c>
      <c r="K27" s="16" t="s">
        <v>56</v>
      </c>
      <c r="L27" s="16" t="s">
        <v>60</v>
      </c>
      <c r="M27" s="16" t="s">
        <v>50</v>
      </c>
      <c r="N27" s="17" t="s">
        <v>83</v>
      </c>
    </row>
    <row r="28" spans="1:14" x14ac:dyDescent="0.3">
      <c r="A28" s="13">
        <v>46272</v>
      </c>
      <c r="B28" s="14">
        <v>180</v>
      </c>
      <c r="C28" s="14">
        <v>30</v>
      </c>
      <c r="D28" s="14">
        <v>420</v>
      </c>
      <c r="E28" s="14">
        <v>120</v>
      </c>
      <c r="F28" s="14">
        <v>360</v>
      </c>
      <c r="G28" s="14">
        <v>6</v>
      </c>
      <c r="H28" s="14">
        <v>330</v>
      </c>
      <c r="I28" s="15">
        <f t="shared" si="0"/>
        <v>1440</v>
      </c>
      <c r="J28" s="15">
        <f t="shared" si="1"/>
        <v>0</v>
      </c>
      <c r="K28" s="16" t="s">
        <v>56</v>
      </c>
      <c r="L28" s="16" t="s">
        <v>49</v>
      </c>
      <c r="M28" s="16" t="s">
        <v>50</v>
      </c>
      <c r="N28" s="17" t="s">
        <v>82</v>
      </c>
    </row>
    <row r="29" spans="1:14" x14ac:dyDescent="0.3">
      <c r="A29" s="13">
        <v>46273</v>
      </c>
      <c r="B29" s="14">
        <v>240</v>
      </c>
      <c r="C29" s="14">
        <v>60</v>
      </c>
      <c r="D29" s="14">
        <v>360</v>
      </c>
      <c r="E29" s="14">
        <v>125</v>
      </c>
      <c r="F29" s="14">
        <v>360</v>
      </c>
      <c r="G29" s="14">
        <v>6</v>
      </c>
      <c r="H29" s="14">
        <v>295</v>
      </c>
      <c r="I29" s="15">
        <f t="shared" si="0"/>
        <v>1440</v>
      </c>
      <c r="J29" s="15">
        <f t="shared" si="1"/>
        <v>0</v>
      </c>
      <c r="K29" s="16" t="s">
        <v>56</v>
      </c>
      <c r="L29" s="16" t="s">
        <v>56</v>
      </c>
      <c r="M29" s="16" t="s">
        <v>50</v>
      </c>
      <c r="N29" s="17" t="s">
        <v>80</v>
      </c>
    </row>
    <row r="30" spans="1:14" ht="28.8" x14ac:dyDescent="0.3">
      <c r="A30" s="13">
        <v>46274</v>
      </c>
      <c r="B30" s="14">
        <v>180</v>
      </c>
      <c r="C30" s="14">
        <v>30</v>
      </c>
      <c r="D30" s="14">
        <v>480</v>
      </c>
      <c r="E30" s="14">
        <v>150</v>
      </c>
      <c r="F30" s="14">
        <v>360</v>
      </c>
      <c r="G30" s="14">
        <v>6</v>
      </c>
      <c r="H30" s="14">
        <v>240</v>
      </c>
      <c r="I30" s="15">
        <f t="shared" si="0"/>
        <v>1440</v>
      </c>
      <c r="J30" s="15">
        <f t="shared" si="1"/>
        <v>0</v>
      </c>
      <c r="K30" s="16" t="s">
        <v>56</v>
      </c>
      <c r="L30" s="16" t="s">
        <v>49</v>
      </c>
      <c r="M30" s="16" t="s">
        <v>50</v>
      </c>
      <c r="N30" s="17" t="s">
        <v>84</v>
      </c>
    </row>
    <row r="31" spans="1:14" x14ac:dyDescent="0.3">
      <c r="A31" s="13">
        <v>46275</v>
      </c>
      <c r="B31" s="14">
        <v>240</v>
      </c>
      <c r="C31" s="14">
        <v>0</v>
      </c>
      <c r="D31" s="14">
        <v>420</v>
      </c>
      <c r="E31" s="14">
        <v>120</v>
      </c>
      <c r="F31" s="14">
        <v>360</v>
      </c>
      <c r="G31" s="14">
        <v>6</v>
      </c>
      <c r="H31" s="14">
        <v>300</v>
      </c>
      <c r="I31" s="15">
        <f t="shared" si="0"/>
        <v>1440</v>
      </c>
      <c r="J31" s="15">
        <f t="shared" si="1"/>
        <v>0</v>
      </c>
      <c r="K31" s="16" t="s">
        <v>56</v>
      </c>
      <c r="L31" s="16" t="s">
        <v>49</v>
      </c>
      <c r="M31" s="16" t="s">
        <v>67</v>
      </c>
      <c r="N31" s="17" t="s">
        <v>85</v>
      </c>
    </row>
    <row r="32" spans="1:14" x14ac:dyDescent="0.3">
      <c r="A32" s="13">
        <v>46276</v>
      </c>
      <c r="B32" s="14">
        <v>300</v>
      </c>
      <c r="C32" s="14">
        <v>0</v>
      </c>
      <c r="D32" s="14">
        <v>120</v>
      </c>
      <c r="E32" s="14">
        <v>0</v>
      </c>
      <c r="F32" s="14">
        <v>420</v>
      </c>
      <c r="G32" s="14">
        <v>7</v>
      </c>
      <c r="H32" s="14">
        <v>600</v>
      </c>
      <c r="I32" s="15">
        <f t="shared" si="0"/>
        <v>1440</v>
      </c>
      <c r="J32" s="15">
        <f t="shared" si="1"/>
        <v>0</v>
      </c>
      <c r="K32" s="16" t="s">
        <v>56</v>
      </c>
      <c r="L32" s="16" t="s">
        <v>56</v>
      </c>
      <c r="M32" s="16" t="s">
        <v>50</v>
      </c>
      <c r="N32" s="17" t="s">
        <v>86</v>
      </c>
    </row>
    <row r="33" spans="1:14" x14ac:dyDescent="0.3">
      <c r="A33" s="13">
        <v>46277</v>
      </c>
      <c r="B33" s="14">
        <v>480</v>
      </c>
      <c r="C33" s="14">
        <v>0</v>
      </c>
      <c r="D33" s="14">
        <v>500</v>
      </c>
      <c r="E33" s="14">
        <v>60</v>
      </c>
      <c r="F33" s="14">
        <v>0</v>
      </c>
      <c r="G33" s="14">
        <v>0</v>
      </c>
      <c r="H33" s="14">
        <v>400</v>
      </c>
      <c r="I33" s="15">
        <f t="shared" si="0"/>
        <v>1440</v>
      </c>
      <c r="J33" s="15">
        <f t="shared" si="1"/>
        <v>0</v>
      </c>
      <c r="K33" s="16" t="s">
        <v>56</v>
      </c>
      <c r="L33" s="16" t="s">
        <v>49</v>
      </c>
      <c r="M33" s="16" t="s">
        <v>50</v>
      </c>
      <c r="N33" s="17" t="s">
        <v>87</v>
      </c>
    </row>
    <row r="34" spans="1:14" ht="28.8" x14ac:dyDescent="0.3">
      <c r="A34" s="13">
        <v>46278</v>
      </c>
      <c r="B34" s="14">
        <v>480</v>
      </c>
      <c r="C34" s="14">
        <v>30</v>
      </c>
      <c r="D34" s="14">
        <v>300</v>
      </c>
      <c r="E34" s="14">
        <v>30</v>
      </c>
      <c r="F34" s="14">
        <v>0</v>
      </c>
      <c r="G34" s="14">
        <v>0</v>
      </c>
      <c r="H34" s="14">
        <v>500</v>
      </c>
      <c r="I34" s="15">
        <f t="shared" si="0"/>
        <v>1340</v>
      </c>
      <c r="J34" s="15">
        <f t="shared" si="1"/>
        <v>100</v>
      </c>
      <c r="K34" s="16" t="s">
        <v>56</v>
      </c>
      <c r="L34" s="16" t="s">
        <v>56</v>
      </c>
      <c r="M34" s="16" t="s">
        <v>50</v>
      </c>
      <c r="N34" s="17" t="s">
        <v>88</v>
      </c>
    </row>
    <row r="35" spans="1:14" ht="28.8" x14ac:dyDescent="0.3">
      <c r="A35" s="13">
        <v>46279</v>
      </c>
      <c r="B35" s="14">
        <v>240</v>
      </c>
      <c r="C35" s="14">
        <v>30</v>
      </c>
      <c r="D35" s="14">
        <v>200</v>
      </c>
      <c r="E35" s="14">
        <v>320</v>
      </c>
      <c r="F35" s="14">
        <v>240</v>
      </c>
      <c r="G35" s="14">
        <v>4</v>
      </c>
      <c r="H35" s="14">
        <v>410</v>
      </c>
      <c r="I35" s="15">
        <f t="shared" si="0"/>
        <v>1440</v>
      </c>
      <c r="J35" s="15">
        <f t="shared" si="1"/>
        <v>0</v>
      </c>
      <c r="K35" s="16" t="s">
        <v>65</v>
      </c>
      <c r="L35" s="16" t="s">
        <v>66</v>
      </c>
      <c r="M35" s="16" t="s">
        <v>67</v>
      </c>
      <c r="N35" s="17" t="s">
        <v>89</v>
      </c>
    </row>
    <row r="36" spans="1:14" ht="43.2" x14ac:dyDescent="0.3">
      <c r="A36" s="13">
        <v>46280</v>
      </c>
      <c r="B36" s="14">
        <v>240</v>
      </c>
      <c r="C36" s="14">
        <v>30</v>
      </c>
      <c r="D36" s="14">
        <v>300</v>
      </c>
      <c r="E36" s="14">
        <v>60</v>
      </c>
      <c r="F36" s="14">
        <v>300</v>
      </c>
      <c r="G36" s="14">
        <v>5</v>
      </c>
      <c r="H36" s="14">
        <v>510</v>
      </c>
      <c r="I36" s="15">
        <f t="shared" si="0"/>
        <v>1440</v>
      </c>
      <c r="J36" s="15">
        <f t="shared" si="1"/>
        <v>0</v>
      </c>
      <c r="K36" s="16" t="s">
        <v>48</v>
      </c>
      <c r="L36" s="16" t="s">
        <v>49</v>
      </c>
      <c r="M36" s="16" t="s">
        <v>67</v>
      </c>
      <c r="N36" s="17" t="s">
        <v>90</v>
      </c>
    </row>
    <row r="37" spans="1:14" x14ac:dyDescent="0.3">
      <c r="A37" s="13">
        <v>46281</v>
      </c>
      <c r="B37" s="14">
        <v>300</v>
      </c>
      <c r="C37" s="14">
        <v>20</v>
      </c>
      <c r="D37" s="14">
        <v>360</v>
      </c>
      <c r="E37" s="14">
        <v>120</v>
      </c>
      <c r="F37" s="14">
        <v>300</v>
      </c>
      <c r="G37" s="14">
        <v>5</v>
      </c>
      <c r="H37" s="14">
        <v>340</v>
      </c>
      <c r="I37" s="15">
        <f t="shared" si="0"/>
        <v>1440</v>
      </c>
      <c r="J37" s="15">
        <f t="shared" si="1"/>
        <v>0</v>
      </c>
      <c r="K37" s="16" t="s">
        <v>65</v>
      </c>
      <c r="L37" s="16" t="s">
        <v>49</v>
      </c>
      <c r="M37" s="16" t="s">
        <v>50</v>
      </c>
      <c r="N37" s="17" t="s">
        <v>91</v>
      </c>
    </row>
    <row r="38" spans="1:14" ht="28.8" x14ac:dyDescent="0.3">
      <c r="A38" s="13">
        <v>46282</v>
      </c>
      <c r="B38" s="14">
        <v>300</v>
      </c>
      <c r="C38" s="14">
        <v>0</v>
      </c>
      <c r="D38" s="14">
        <v>240</v>
      </c>
      <c r="E38" s="14">
        <v>30</v>
      </c>
      <c r="F38" s="14">
        <v>360</v>
      </c>
      <c r="G38" s="14">
        <v>6</v>
      </c>
      <c r="H38" s="14">
        <v>510</v>
      </c>
      <c r="I38" s="15">
        <f t="shared" si="0"/>
        <v>1440</v>
      </c>
      <c r="J38" s="15">
        <f t="shared" si="1"/>
        <v>0</v>
      </c>
      <c r="K38" s="16" t="s">
        <v>56</v>
      </c>
      <c r="L38" s="16" t="s">
        <v>56</v>
      </c>
      <c r="M38" s="16" t="s">
        <v>50</v>
      </c>
      <c r="N38" s="17" t="s">
        <v>92</v>
      </c>
    </row>
    <row r="39" spans="1:14" x14ac:dyDescent="0.3">
      <c r="A39" s="13">
        <v>46283</v>
      </c>
      <c r="B39" s="14">
        <v>360</v>
      </c>
      <c r="C39" s="14">
        <v>30</v>
      </c>
      <c r="D39" s="14">
        <v>120</v>
      </c>
      <c r="E39" s="14">
        <v>30</v>
      </c>
      <c r="F39" s="14">
        <v>420</v>
      </c>
      <c r="G39" s="14">
        <v>7</v>
      </c>
      <c r="H39" s="14">
        <v>480</v>
      </c>
      <c r="I39" s="15">
        <f t="shared" si="0"/>
        <v>1440</v>
      </c>
      <c r="J39" s="15">
        <f t="shared" si="1"/>
        <v>0</v>
      </c>
      <c r="K39" s="16" t="s">
        <v>56</v>
      </c>
      <c r="L39" s="16" t="s">
        <v>49</v>
      </c>
      <c r="M39" s="16" t="s">
        <v>50</v>
      </c>
      <c r="N39" s="17" t="s">
        <v>80</v>
      </c>
    </row>
    <row r="40" spans="1:14" x14ac:dyDescent="0.3">
      <c r="A40" s="13">
        <v>46284</v>
      </c>
      <c r="B40" s="14">
        <v>300</v>
      </c>
      <c r="C40" s="14">
        <v>30</v>
      </c>
      <c r="D40" s="14">
        <v>450</v>
      </c>
      <c r="E40" s="14">
        <v>120</v>
      </c>
      <c r="F40" s="14">
        <v>0</v>
      </c>
      <c r="G40" s="14">
        <v>0</v>
      </c>
      <c r="H40" s="14">
        <v>500</v>
      </c>
      <c r="I40" s="15">
        <f t="shared" si="0"/>
        <v>1400</v>
      </c>
      <c r="J40" s="15">
        <f t="shared" si="1"/>
        <v>40</v>
      </c>
      <c r="K40" s="16" t="s">
        <v>93</v>
      </c>
      <c r="L40" s="16" t="s">
        <v>60</v>
      </c>
      <c r="M40" s="16" t="s">
        <v>58</v>
      </c>
      <c r="N40" s="17" t="s">
        <v>94</v>
      </c>
    </row>
    <row r="41" spans="1:14" x14ac:dyDescent="0.3">
      <c r="A41" s="13">
        <v>46285</v>
      </c>
      <c r="B41" s="14">
        <v>180</v>
      </c>
      <c r="C41" s="14">
        <v>0</v>
      </c>
      <c r="D41" s="14">
        <v>240</v>
      </c>
      <c r="E41" s="14">
        <v>420</v>
      </c>
      <c r="F41" s="14">
        <v>0</v>
      </c>
      <c r="G41" s="14">
        <v>0</v>
      </c>
      <c r="H41" s="14">
        <v>600</v>
      </c>
      <c r="I41" s="15">
        <f t="shared" si="0"/>
        <v>1440</v>
      </c>
      <c r="J41" s="15">
        <f t="shared" si="1"/>
        <v>0</v>
      </c>
      <c r="K41" s="16" t="s">
        <v>56</v>
      </c>
      <c r="L41" s="16" t="s">
        <v>49</v>
      </c>
      <c r="M41" s="16" t="s">
        <v>50</v>
      </c>
      <c r="N41" s="17" t="s">
        <v>95</v>
      </c>
    </row>
    <row r="42" spans="1:14" ht="28.8" x14ac:dyDescent="0.3">
      <c r="A42" s="13">
        <v>46286</v>
      </c>
      <c r="B42" s="14">
        <v>360</v>
      </c>
      <c r="C42" s="14">
        <v>30</v>
      </c>
      <c r="D42" s="14">
        <v>240</v>
      </c>
      <c r="E42" s="14">
        <v>120</v>
      </c>
      <c r="F42" s="14">
        <v>240</v>
      </c>
      <c r="G42" s="14">
        <v>4</v>
      </c>
      <c r="H42" s="14">
        <v>450</v>
      </c>
      <c r="I42" s="15">
        <f t="shared" si="0"/>
        <v>1440</v>
      </c>
      <c r="J42" s="15">
        <f t="shared" si="1"/>
        <v>0</v>
      </c>
      <c r="K42" s="16" t="s">
        <v>48</v>
      </c>
      <c r="L42" s="16" t="s">
        <v>56</v>
      </c>
      <c r="M42" s="16" t="s">
        <v>67</v>
      </c>
      <c r="N42" s="17" t="s">
        <v>96</v>
      </c>
    </row>
    <row r="43" spans="1:14" x14ac:dyDescent="0.3">
      <c r="A43" s="13">
        <v>46287</v>
      </c>
      <c r="B43" s="14">
        <v>600</v>
      </c>
      <c r="C43" s="14">
        <v>0</v>
      </c>
      <c r="D43" s="14">
        <v>200</v>
      </c>
      <c r="E43" s="14">
        <v>100</v>
      </c>
      <c r="F43" s="14">
        <v>240</v>
      </c>
      <c r="G43" s="14">
        <v>4</v>
      </c>
      <c r="H43" s="14">
        <v>300</v>
      </c>
      <c r="I43" s="15">
        <f t="shared" si="0"/>
        <v>1440</v>
      </c>
      <c r="J43" s="15">
        <f t="shared" si="1"/>
        <v>0</v>
      </c>
      <c r="K43" s="16" t="s">
        <v>48</v>
      </c>
      <c r="L43" s="16" t="s">
        <v>56</v>
      </c>
      <c r="M43" s="16" t="s">
        <v>58</v>
      </c>
      <c r="N43" s="17" t="s">
        <v>97</v>
      </c>
    </row>
    <row r="44" spans="1:14" ht="28.8" x14ac:dyDescent="0.3">
      <c r="A44" s="13">
        <v>46288</v>
      </c>
      <c r="B44" s="14">
        <v>240</v>
      </c>
      <c r="C44" s="14">
        <v>30</v>
      </c>
      <c r="D44" s="14">
        <v>360</v>
      </c>
      <c r="E44" s="14">
        <v>120</v>
      </c>
      <c r="F44" s="14">
        <v>300</v>
      </c>
      <c r="G44" s="14">
        <v>5</v>
      </c>
      <c r="H44" s="14">
        <v>390</v>
      </c>
      <c r="I44" s="15">
        <f t="shared" si="0"/>
        <v>1440</v>
      </c>
      <c r="J44" s="15">
        <f t="shared" si="1"/>
        <v>0</v>
      </c>
      <c r="K44" s="16" t="s">
        <v>56</v>
      </c>
      <c r="L44" s="16" t="s">
        <v>49</v>
      </c>
      <c r="M44" s="16" t="s">
        <v>50</v>
      </c>
      <c r="N44" s="17" t="s">
        <v>98</v>
      </c>
    </row>
    <row r="45" spans="1:14" ht="28.8" x14ac:dyDescent="0.3">
      <c r="A45" s="13">
        <v>46289</v>
      </c>
      <c r="B45" s="14">
        <v>360</v>
      </c>
      <c r="C45" s="14">
        <v>30</v>
      </c>
      <c r="D45" s="14">
        <v>240</v>
      </c>
      <c r="E45" s="14">
        <v>120</v>
      </c>
      <c r="F45" s="14">
        <v>360</v>
      </c>
      <c r="G45" s="14">
        <v>6</v>
      </c>
      <c r="H45" s="14">
        <v>300</v>
      </c>
      <c r="I45" s="15">
        <f t="shared" si="0"/>
        <v>1410</v>
      </c>
      <c r="J45" s="15">
        <f t="shared" si="1"/>
        <v>30</v>
      </c>
      <c r="K45" s="16" t="s">
        <v>48</v>
      </c>
      <c r="L45" s="16" t="s">
        <v>49</v>
      </c>
      <c r="M45" s="16" t="s">
        <v>50</v>
      </c>
      <c r="N45" s="17" t="s">
        <v>99</v>
      </c>
    </row>
    <row r="46" spans="1:14" x14ac:dyDescent="0.3">
      <c r="A46" s="13">
        <v>46290</v>
      </c>
      <c r="B46" s="14">
        <v>360</v>
      </c>
      <c r="C46" s="14">
        <v>30</v>
      </c>
      <c r="D46" s="14">
        <v>120</v>
      </c>
      <c r="E46" s="14">
        <v>180</v>
      </c>
      <c r="F46" s="14">
        <v>420</v>
      </c>
      <c r="G46" s="14">
        <v>7</v>
      </c>
      <c r="H46" s="14">
        <v>300</v>
      </c>
      <c r="I46" s="15">
        <f t="shared" si="0"/>
        <v>1410</v>
      </c>
      <c r="J46" s="15">
        <f t="shared" si="1"/>
        <v>30</v>
      </c>
      <c r="K46" s="16" t="s">
        <v>48</v>
      </c>
      <c r="L46" s="16" t="s">
        <v>56</v>
      </c>
      <c r="M46" s="16" t="s">
        <v>50</v>
      </c>
      <c r="N46" s="17" t="s">
        <v>100</v>
      </c>
    </row>
    <row r="47" spans="1:14" ht="43.2" x14ac:dyDescent="0.3">
      <c r="A47" s="13">
        <v>46291</v>
      </c>
      <c r="B47" s="14">
        <v>480</v>
      </c>
      <c r="C47" s="14">
        <v>0</v>
      </c>
      <c r="D47" s="14">
        <v>360</v>
      </c>
      <c r="E47" s="14">
        <v>300</v>
      </c>
      <c r="F47" s="14">
        <v>0</v>
      </c>
      <c r="G47" s="14">
        <v>0</v>
      </c>
      <c r="H47" s="14">
        <v>300</v>
      </c>
      <c r="I47" s="15">
        <f t="shared" si="0"/>
        <v>1440</v>
      </c>
      <c r="J47" s="15">
        <f t="shared" si="1"/>
        <v>0</v>
      </c>
      <c r="K47" s="16" t="s">
        <v>65</v>
      </c>
      <c r="L47" s="16" t="s">
        <v>66</v>
      </c>
      <c r="M47" s="16" t="s">
        <v>67</v>
      </c>
      <c r="N47" s="17" t="s">
        <v>101</v>
      </c>
    </row>
    <row r="48" spans="1:14" ht="57.6" x14ac:dyDescent="0.3">
      <c r="A48" s="13">
        <v>46292</v>
      </c>
      <c r="B48" s="14">
        <v>180</v>
      </c>
      <c r="C48" s="14">
        <v>60</v>
      </c>
      <c r="D48" s="14">
        <v>540</v>
      </c>
      <c r="E48" s="14">
        <v>360</v>
      </c>
      <c r="F48" s="14">
        <v>0</v>
      </c>
      <c r="G48" s="14">
        <v>0</v>
      </c>
      <c r="H48" s="14">
        <v>300</v>
      </c>
      <c r="I48" s="15">
        <f t="shared" si="0"/>
        <v>1440</v>
      </c>
      <c r="J48" s="15">
        <f t="shared" si="1"/>
        <v>0</v>
      </c>
      <c r="K48" s="16" t="s">
        <v>65</v>
      </c>
      <c r="L48" s="16" t="s">
        <v>66</v>
      </c>
      <c r="M48" s="16" t="s">
        <v>67</v>
      </c>
      <c r="N48" s="17" t="s">
        <v>102</v>
      </c>
    </row>
    <row r="49" spans="1:14" ht="28.8" x14ac:dyDescent="0.3">
      <c r="A49" s="13">
        <v>46293</v>
      </c>
      <c r="B49" s="14">
        <v>180</v>
      </c>
      <c r="C49" s="14">
        <v>0</v>
      </c>
      <c r="D49" s="14">
        <v>360</v>
      </c>
      <c r="E49" s="14">
        <v>120</v>
      </c>
      <c r="F49" s="14">
        <v>0</v>
      </c>
      <c r="G49" s="14">
        <v>0</v>
      </c>
      <c r="H49" s="14">
        <v>780</v>
      </c>
      <c r="I49" s="15">
        <f t="shared" si="0"/>
        <v>1440</v>
      </c>
      <c r="J49" s="15">
        <f t="shared" si="1"/>
        <v>0</v>
      </c>
      <c r="K49" s="16" t="s">
        <v>48</v>
      </c>
      <c r="L49" s="16" t="s">
        <v>56</v>
      </c>
      <c r="M49" s="16" t="s">
        <v>50</v>
      </c>
      <c r="N49" s="17" t="s">
        <v>106</v>
      </c>
    </row>
    <row r="50" spans="1:14" ht="43.2" x14ac:dyDescent="0.3">
      <c r="A50" s="13">
        <v>46294</v>
      </c>
      <c r="B50" s="14">
        <v>120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1300</v>
      </c>
      <c r="I50" s="15">
        <f t="shared" si="0"/>
        <v>1420</v>
      </c>
      <c r="J50" s="15">
        <f t="shared" si="1"/>
        <v>20</v>
      </c>
      <c r="K50" s="16" t="s">
        <v>93</v>
      </c>
      <c r="L50" s="16" t="s">
        <v>105</v>
      </c>
      <c r="M50" s="16" t="s">
        <v>50</v>
      </c>
      <c r="N50" s="17" t="s">
        <v>107</v>
      </c>
    </row>
    <row r="51" spans="1:14" x14ac:dyDescent="0.3">
      <c r="A51" s="13">
        <v>46295</v>
      </c>
      <c r="B51" s="14">
        <v>480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900</v>
      </c>
      <c r="I51" s="15">
        <f t="shared" si="0"/>
        <v>1380</v>
      </c>
      <c r="J51" s="15">
        <f t="shared" si="1"/>
        <v>60</v>
      </c>
      <c r="K51" s="16" t="s">
        <v>93</v>
      </c>
      <c r="L51" s="16" t="s">
        <v>105</v>
      </c>
      <c r="M51" s="16" t="s">
        <v>58</v>
      </c>
      <c r="N51" s="17" t="s">
        <v>108</v>
      </c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1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9FEB-E5BC-469A-BB41-A59148469430}">
  <dimension ref="A1:N326"/>
  <sheetViews>
    <sheetView showGridLines="0" tabSelected="1" zoomScale="102" zoomScaleNormal="100"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N38" sqref="N38"/>
    </sheetView>
  </sheetViews>
  <sheetFormatPr defaultColWidth="8.6640625" defaultRowHeight="14.4" x14ac:dyDescent="0.3"/>
  <cols>
    <col min="1" max="1" width="16.21875" customWidth="1"/>
    <col min="2" max="6" width="11" customWidth="1"/>
    <col min="7" max="7" width="13" customWidth="1"/>
    <col min="8" max="9" width="14" customWidth="1"/>
    <col min="10" max="10" width="19.3320312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12620583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103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55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7" si="0">IF(SUM(B6:F6,H6)=0,"",SUM(B6:F6,H6))</f>
        <v>885</v>
      </c>
      <c r="J6" s="10">
        <f t="shared" ref="J6:J7" si="1">IF(I6="","",1440-I6)</f>
        <v>555</v>
      </c>
      <c r="K6" s="11" t="s">
        <v>48</v>
      </c>
      <c r="L6" s="11" t="s">
        <v>49</v>
      </c>
      <c r="M6" s="11" t="s">
        <v>50</v>
      </c>
      <c r="N6" s="12" t="s">
        <v>51</v>
      </c>
    </row>
    <row r="7" spans="1:14" ht="28.8" x14ac:dyDescent="0.3">
      <c r="A7" s="13">
        <v>46296</v>
      </c>
      <c r="B7" s="14">
        <v>360</v>
      </c>
      <c r="C7" s="14">
        <v>30</v>
      </c>
      <c r="D7" s="14">
        <v>300</v>
      </c>
      <c r="E7" s="14">
        <v>120</v>
      </c>
      <c r="F7" s="14">
        <v>0</v>
      </c>
      <c r="G7" s="14">
        <v>0</v>
      </c>
      <c r="H7" s="14">
        <v>600</v>
      </c>
      <c r="I7" s="15">
        <f t="shared" si="0"/>
        <v>1410</v>
      </c>
      <c r="J7" s="15">
        <f t="shared" si="1"/>
        <v>30</v>
      </c>
      <c r="K7" s="16" t="s">
        <v>65</v>
      </c>
      <c r="L7" s="16" t="s">
        <v>66</v>
      </c>
      <c r="M7" s="16" t="s">
        <v>67</v>
      </c>
      <c r="N7" s="17" t="s">
        <v>104</v>
      </c>
    </row>
    <row r="8" spans="1:14" ht="28.8" x14ac:dyDescent="0.3">
      <c r="A8" s="13">
        <v>46297</v>
      </c>
      <c r="B8" s="14">
        <v>420</v>
      </c>
      <c r="C8" s="14">
        <v>30</v>
      </c>
      <c r="D8" s="14">
        <v>0</v>
      </c>
      <c r="E8" s="14">
        <v>0</v>
      </c>
      <c r="F8" s="14">
        <v>0</v>
      </c>
      <c r="G8" s="14">
        <v>0</v>
      </c>
      <c r="H8" s="14">
        <v>950</v>
      </c>
      <c r="I8" s="15">
        <f t="shared" ref="I8:I58" si="2">IF(SUM(B8:F8,H8)=0,"",SUM(B8:F8,H8))</f>
        <v>1400</v>
      </c>
      <c r="J8" s="15">
        <f t="shared" ref="J8:J58" si="3">IF(I8="","",1440-I8)</f>
        <v>40</v>
      </c>
      <c r="K8" s="16" t="s">
        <v>65</v>
      </c>
      <c r="L8" s="16" t="s">
        <v>66</v>
      </c>
      <c r="M8" s="16" t="s">
        <v>67</v>
      </c>
      <c r="N8" s="17" t="s">
        <v>114</v>
      </c>
    </row>
    <row r="9" spans="1:14" ht="28.8" x14ac:dyDescent="0.3">
      <c r="A9" s="13">
        <v>46298</v>
      </c>
      <c r="B9" s="14">
        <v>420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1000</v>
      </c>
      <c r="I9" s="15">
        <f t="shared" si="2"/>
        <v>1420</v>
      </c>
      <c r="J9" s="15">
        <f t="shared" si="3"/>
        <v>20</v>
      </c>
      <c r="K9" s="16" t="s">
        <v>65</v>
      </c>
      <c r="L9" s="16" t="s">
        <v>66</v>
      </c>
      <c r="M9" s="16" t="s">
        <v>67</v>
      </c>
      <c r="N9" s="17" t="s">
        <v>115</v>
      </c>
    </row>
    <row r="10" spans="1:14" ht="28.8" x14ac:dyDescent="0.3">
      <c r="A10" s="13">
        <v>46299</v>
      </c>
      <c r="B10" s="14">
        <v>420</v>
      </c>
      <c r="C10" s="14">
        <v>0</v>
      </c>
      <c r="D10" s="14">
        <v>120</v>
      </c>
      <c r="E10" s="14">
        <v>30</v>
      </c>
      <c r="F10" s="14">
        <v>0</v>
      </c>
      <c r="G10" s="14">
        <v>0</v>
      </c>
      <c r="H10" s="14">
        <v>780</v>
      </c>
      <c r="I10" s="15">
        <f t="shared" si="2"/>
        <v>1350</v>
      </c>
      <c r="J10" s="15">
        <f t="shared" si="3"/>
        <v>90</v>
      </c>
      <c r="K10" s="16" t="s">
        <v>65</v>
      </c>
      <c r="L10" s="16" t="s">
        <v>49</v>
      </c>
      <c r="M10" s="16" t="s">
        <v>50</v>
      </c>
      <c r="N10" s="17" t="s">
        <v>109</v>
      </c>
    </row>
    <row r="11" spans="1:14" x14ac:dyDescent="0.3">
      <c r="A11" s="13">
        <v>46300</v>
      </c>
      <c r="B11" s="14">
        <v>360</v>
      </c>
      <c r="C11" s="14">
        <v>60</v>
      </c>
      <c r="D11" s="14">
        <v>0</v>
      </c>
      <c r="E11" s="14">
        <v>0</v>
      </c>
      <c r="F11" s="14">
        <v>0</v>
      </c>
      <c r="G11" s="14">
        <v>0</v>
      </c>
      <c r="H11" s="14">
        <v>1000</v>
      </c>
      <c r="I11" s="15">
        <f t="shared" si="2"/>
        <v>1420</v>
      </c>
      <c r="J11" s="15">
        <f t="shared" si="3"/>
        <v>20</v>
      </c>
      <c r="K11" s="16" t="s">
        <v>65</v>
      </c>
      <c r="L11" s="16" t="s">
        <v>66</v>
      </c>
      <c r="M11" s="16" t="s">
        <v>67</v>
      </c>
      <c r="N11" s="17" t="s">
        <v>110</v>
      </c>
    </row>
    <row r="12" spans="1:14" ht="28.8" x14ac:dyDescent="0.3">
      <c r="A12" s="13">
        <v>46301</v>
      </c>
      <c r="B12" s="14">
        <v>360</v>
      </c>
      <c r="C12" s="14">
        <v>60</v>
      </c>
      <c r="D12" s="14">
        <v>0</v>
      </c>
      <c r="E12" s="14">
        <v>0</v>
      </c>
      <c r="F12" s="14">
        <v>0</v>
      </c>
      <c r="G12" s="14">
        <v>0</v>
      </c>
      <c r="H12" s="14">
        <v>1000</v>
      </c>
      <c r="I12" s="15">
        <f t="shared" si="2"/>
        <v>1420</v>
      </c>
      <c r="J12" s="15">
        <f t="shared" si="3"/>
        <v>20</v>
      </c>
      <c r="K12" s="16" t="s">
        <v>65</v>
      </c>
      <c r="L12" s="16" t="s">
        <v>66</v>
      </c>
      <c r="M12" s="16" t="s">
        <v>67</v>
      </c>
      <c r="N12" s="17" t="s">
        <v>111</v>
      </c>
    </row>
    <row r="13" spans="1:14" ht="28.8" x14ac:dyDescent="0.3">
      <c r="A13" s="13">
        <v>46302</v>
      </c>
      <c r="B13" s="14">
        <v>420</v>
      </c>
      <c r="C13" s="14">
        <v>60</v>
      </c>
      <c r="D13" s="14">
        <v>0</v>
      </c>
      <c r="E13" s="14">
        <v>0</v>
      </c>
      <c r="F13" s="14">
        <v>0</v>
      </c>
      <c r="G13" s="14">
        <v>0</v>
      </c>
      <c r="H13" s="14">
        <v>950</v>
      </c>
      <c r="I13" s="15">
        <f t="shared" si="2"/>
        <v>1430</v>
      </c>
      <c r="J13" s="15">
        <f t="shared" si="3"/>
        <v>10</v>
      </c>
      <c r="K13" s="16" t="s">
        <v>65</v>
      </c>
      <c r="L13" s="16" t="s">
        <v>66</v>
      </c>
      <c r="M13" s="16" t="s">
        <v>67</v>
      </c>
      <c r="N13" s="17" t="s">
        <v>112</v>
      </c>
    </row>
    <row r="14" spans="1:14" x14ac:dyDescent="0.3">
      <c r="A14" s="13">
        <v>46303</v>
      </c>
      <c r="B14" s="14">
        <v>420</v>
      </c>
      <c r="C14" s="14">
        <v>40</v>
      </c>
      <c r="D14" s="14">
        <v>0</v>
      </c>
      <c r="E14" s="14">
        <v>0</v>
      </c>
      <c r="F14" s="14">
        <v>0</v>
      </c>
      <c r="G14" s="14">
        <v>0</v>
      </c>
      <c r="H14" s="14">
        <v>950</v>
      </c>
      <c r="I14" s="15">
        <f t="shared" si="2"/>
        <v>1410</v>
      </c>
      <c r="J14" s="15">
        <f t="shared" si="3"/>
        <v>30</v>
      </c>
      <c r="K14" s="16" t="s">
        <v>65</v>
      </c>
      <c r="L14" s="16" t="s">
        <v>66</v>
      </c>
      <c r="M14" s="16" t="s">
        <v>67</v>
      </c>
      <c r="N14" s="17" t="s">
        <v>113</v>
      </c>
    </row>
    <row r="15" spans="1:14" x14ac:dyDescent="0.3">
      <c r="A15" s="13">
        <v>46304</v>
      </c>
      <c r="B15" s="14">
        <v>420</v>
      </c>
      <c r="C15" s="14">
        <v>30</v>
      </c>
      <c r="D15" s="14">
        <v>0</v>
      </c>
      <c r="E15" s="14">
        <v>0</v>
      </c>
      <c r="F15" s="14">
        <v>0</v>
      </c>
      <c r="G15" s="14">
        <v>0</v>
      </c>
      <c r="H15" s="14">
        <v>950</v>
      </c>
      <c r="I15" s="15">
        <f t="shared" si="2"/>
        <v>1400</v>
      </c>
      <c r="J15" s="15">
        <f t="shared" si="3"/>
        <v>40</v>
      </c>
      <c r="K15" s="16" t="s">
        <v>65</v>
      </c>
      <c r="L15" s="16" t="s">
        <v>66</v>
      </c>
      <c r="M15" s="16" t="s">
        <v>67</v>
      </c>
      <c r="N15" s="17" t="s">
        <v>113</v>
      </c>
    </row>
    <row r="16" spans="1:14" x14ac:dyDescent="0.3">
      <c r="A16" s="13">
        <v>46305</v>
      </c>
      <c r="B16" s="14">
        <v>420</v>
      </c>
      <c r="C16" s="14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950</v>
      </c>
      <c r="I16" s="15">
        <f t="shared" si="2"/>
        <v>1400</v>
      </c>
      <c r="J16" s="15">
        <f t="shared" si="3"/>
        <v>40</v>
      </c>
      <c r="K16" s="16" t="s">
        <v>65</v>
      </c>
      <c r="L16" s="16" t="s">
        <v>66</v>
      </c>
      <c r="M16" s="16" t="s">
        <v>67</v>
      </c>
      <c r="N16" s="17" t="s">
        <v>113</v>
      </c>
    </row>
    <row r="17" spans="1:14" ht="28.8" x14ac:dyDescent="0.3">
      <c r="A17" s="13">
        <v>46306</v>
      </c>
      <c r="B17" s="14">
        <v>540</v>
      </c>
      <c r="C17" s="14">
        <v>0</v>
      </c>
      <c r="D17" s="14">
        <v>300</v>
      </c>
      <c r="E17" s="14">
        <v>120</v>
      </c>
      <c r="F17" s="14">
        <v>0</v>
      </c>
      <c r="G17" s="14">
        <v>0</v>
      </c>
      <c r="H17" s="14">
        <v>480</v>
      </c>
      <c r="I17" s="15">
        <f t="shared" si="2"/>
        <v>1440</v>
      </c>
      <c r="J17" s="15">
        <f t="shared" si="3"/>
        <v>0</v>
      </c>
      <c r="K17" s="16" t="s">
        <v>65</v>
      </c>
      <c r="L17" s="16" t="s">
        <v>49</v>
      </c>
      <c r="M17" s="16" t="s">
        <v>50</v>
      </c>
      <c r="N17" s="17" t="s">
        <v>116</v>
      </c>
    </row>
    <row r="18" spans="1:14" ht="43.2" x14ac:dyDescent="0.3">
      <c r="A18" s="13">
        <v>46307</v>
      </c>
      <c r="B18" s="14">
        <v>360</v>
      </c>
      <c r="C18" s="14">
        <v>30</v>
      </c>
      <c r="D18" s="14">
        <v>120</v>
      </c>
      <c r="E18" s="14">
        <v>0</v>
      </c>
      <c r="F18" s="14">
        <v>0</v>
      </c>
      <c r="G18" s="14">
        <v>0</v>
      </c>
      <c r="H18" s="14">
        <v>800</v>
      </c>
      <c r="I18" s="15">
        <f t="shared" si="2"/>
        <v>1310</v>
      </c>
      <c r="J18" s="15">
        <f t="shared" si="3"/>
        <v>130</v>
      </c>
      <c r="K18" s="16" t="s">
        <v>48</v>
      </c>
      <c r="L18" s="16" t="s">
        <v>49</v>
      </c>
      <c r="M18" s="16" t="s">
        <v>50</v>
      </c>
      <c r="N18" s="17" t="s">
        <v>117</v>
      </c>
    </row>
    <row r="19" spans="1:14" ht="43.2" x14ac:dyDescent="0.3">
      <c r="A19" s="13">
        <v>46308</v>
      </c>
      <c r="B19" s="14">
        <v>420</v>
      </c>
      <c r="C19" s="14">
        <v>30</v>
      </c>
      <c r="D19" s="14">
        <v>360</v>
      </c>
      <c r="E19" s="14">
        <v>120</v>
      </c>
      <c r="F19" s="14">
        <v>0</v>
      </c>
      <c r="G19" s="14">
        <v>0</v>
      </c>
      <c r="H19" s="14">
        <v>500</v>
      </c>
      <c r="I19" s="15">
        <f t="shared" si="2"/>
        <v>1430</v>
      </c>
      <c r="J19" s="15">
        <f t="shared" si="3"/>
        <v>10</v>
      </c>
      <c r="K19" s="16" t="s">
        <v>48</v>
      </c>
      <c r="L19" s="16" t="s">
        <v>49</v>
      </c>
      <c r="M19" s="16" t="s">
        <v>50</v>
      </c>
      <c r="N19" s="17" t="s">
        <v>118</v>
      </c>
    </row>
    <row r="20" spans="1:14" ht="43.2" x14ac:dyDescent="0.3">
      <c r="A20" s="13">
        <v>46309</v>
      </c>
      <c r="B20" s="14">
        <v>420</v>
      </c>
      <c r="C20" s="14">
        <v>30</v>
      </c>
      <c r="D20" s="14">
        <v>360</v>
      </c>
      <c r="E20" s="14">
        <v>120</v>
      </c>
      <c r="F20" s="14">
        <v>0</v>
      </c>
      <c r="G20" s="14">
        <v>0</v>
      </c>
      <c r="H20" s="14">
        <v>480</v>
      </c>
      <c r="I20" s="15">
        <f t="shared" si="2"/>
        <v>1410</v>
      </c>
      <c r="J20" s="15">
        <f t="shared" si="3"/>
        <v>30</v>
      </c>
      <c r="K20" s="16" t="s">
        <v>48</v>
      </c>
      <c r="L20" s="16" t="s">
        <v>49</v>
      </c>
      <c r="M20" s="16" t="s">
        <v>58</v>
      </c>
      <c r="N20" s="17" t="s">
        <v>119</v>
      </c>
    </row>
    <row r="21" spans="1:14" ht="28.8" x14ac:dyDescent="0.3">
      <c r="A21" s="13">
        <v>46310</v>
      </c>
      <c r="B21" s="14">
        <v>600</v>
      </c>
      <c r="C21" s="14">
        <v>30</v>
      </c>
      <c r="D21" s="14">
        <v>180</v>
      </c>
      <c r="E21" s="14">
        <v>0</v>
      </c>
      <c r="F21" s="14">
        <v>0</v>
      </c>
      <c r="G21" s="14">
        <v>0</v>
      </c>
      <c r="H21" s="14">
        <v>600</v>
      </c>
      <c r="I21" s="15">
        <f t="shared" si="2"/>
        <v>1410</v>
      </c>
      <c r="J21" s="15">
        <f t="shared" si="3"/>
        <v>30</v>
      </c>
      <c r="K21" s="16" t="s">
        <v>48</v>
      </c>
      <c r="L21" s="16" t="s">
        <v>49</v>
      </c>
      <c r="M21" s="16" t="s">
        <v>50</v>
      </c>
      <c r="N21" s="17" t="s">
        <v>120</v>
      </c>
    </row>
    <row r="22" spans="1:14" ht="57.6" x14ac:dyDescent="0.3">
      <c r="A22" s="13">
        <v>46311</v>
      </c>
      <c r="B22" s="14">
        <v>420</v>
      </c>
      <c r="C22" s="14">
        <v>30</v>
      </c>
      <c r="D22" s="14">
        <v>360</v>
      </c>
      <c r="E22" s="14">
        <v>0</v>
      </c>
      <c r="F22" s="14">
        <v>0</v>
      </c>
      <c r="G22" s="14">
        <v>0</v>
      </c>
      <c r="H22" s="14">
        <v>600</v>
      </c>
      <c r="I22" s="15">
        <f t="shared" si="2"/>
        <v>1410</v>
      </c>
      <c r="J22" s="15">
        <f t="shared" si="3"/>
        <v>30</v>
      </c>
      <c r="K22" s="16" t="s">
        <v>48</v>
      </c>
      <c r="L22" s="16" t="s">
        <v>49</v>
      </c>
      <c r="M22" s="16" t="s">
        <v>50</v>
      </c>
      <c r="N22" s="17" t="s">
        <v>121</v>
      </c>
    </row>
    <row r="23" spans="1:14" ht="72" x14ac:dyDescent="0.3">
      <c r="A23" s="13">
        <v>46312</v>
      </c>
      <c r="B23" s="14">
        <v>420</v>
      </c>
      <c r="C23" s="14">
        <v>30</v>
      </c>
      <c r="D23" s="14">
        <v>360</v>
      </c>
      <c r="E23" s="14">
        <v>0</v>
      </c>
      <c r="F23" s="14">
        <v>0</v>
      </c>
      <c r="G23" s="14">
        <v>0</v>
      </c>
      <c r="H23" s="14">
        <v>600</v>
      </c>
      <c r="I23" s="15">
        <f t="shared" si="2"/>
        <v>1410</v>
      </c>
      <c r="J23" s="15">
        <f t="shared" si="3"/>
        <v>30</v>
      </c>
      <c r="K23" s="16" t="s">
        <v>48</v>
      </c>
      <c r="L23" s="16" t="s">
        <v>49</v>
      </c>
      <c r="M23" s="16" t="s">
        <v>50</v>
      </c>
      <c r="N23" s="17" t="s">
        <v>122</v>
      </c>
    </row>
    <row r="24" spans="1:14" ht="57.6" x14ac:dyDescent="0.3">
      <c r="A24" s="13">
        <v>46313</v>
      </c>
      <c r="B24" s="14">
        <v>180</v>
      </c>
      <c r="C24" s="14">
        <v>60</v>
      </c>
      <c r="D24" s="14">
        <v>560</v>
      </c>
      <c r="E24" s="14">
        <v>120</v>
      </c>
      <c r="F24" s="14">
        <v>0</v>
      </c>
      <c r="G24" s="14">
        <v>0</v>
      </c>
      <c r="H24" s="14">
        <v>500</v>
      </c>
      <c r="I24" s="15">
        <f t="shared" si="2"/>
        <v>1420</v>
      </c>
      <c r="J24" s="15">
        <f t="shared" si="3"/>
        <v>20</v>
      </c>
      <c r="K24" s="16" t="s">
        <v>65</v>
      </c>
      <c r="L24" s="16" t="s">
        <v>66</v>
      </c>
      <c r="M24" s="16" t="s">
        <v>67</v>
      </c>
      <c r="N24" s="17" t="s">
        <v>123</v>
      </c>
    </row>
    <row r="25" spans="1:14" ht="28.8" x14ac:dyDescent="0.3">
      <c r="A25" s="13">
        <v>46314</v>
      </c>
      <c r="B25" s="14">
        <v>360</v>
      </c>
      <c r="C25" s="14">
        <v>30</v>
      </c>
      <c r="D25" s="14">
        <v>420</v>
      </c>
      <c r="E25" s="14">
        <v>120</v>
      </c>
      <c r="F25" s="14">
        <v>240</v>
      </c>
      <c r="G25" s="14">
        <v>4</v>
      </c>
      <c r="H25" s="14">
        <v>240</v>
      </c>
      <c r="I25" s="15">
        <f t="shared" si="2"/>
        <v>1410</v>
      </c>
      <c r="J25" s="15">
        <f t="shared" si="3"/>
        <v>30</v>
      </c>
      <c r="K25" s="16" t="s">
        <v>48</v>
      </c>
      <c r="L25" s="16" t="s">
        <v>49</v>
      </c>
      <c r="M25" s="16" t="s">
        <v>50</v>
      </c>
      <c r="N25" s="17" t="s">
        <v>124</v>
      </c>
    </row>
    <row r="26" spans="1:14" ht="43.2" x14ac:dyDescent="0.3">
      <c r="A26" s="13">
        <v>46315</v>
      </c>
      <c r="B26" s="14">
        <v>360</v>
      </c>
      <c r="C26" s="14">
        <v>30</v>
      </c>
      <c r="D26" s="14">
        <v>480</v>
      </c>
      <c r="E26" s="14">
        <v>180</v>
      </c>
      <c r="F26" s="14">
        <v>0</v>
      </c>
      <c r="G26" s="14">
        <v>0</v>
      </c>
      <c r="H26" s="14">
        <v>360</v>
      </c>
      <c r="I26" s="15">
        <f t="shared" si="2"/>
        <v>1410</v>
      </c>
      <c r="J26" s="15">
        <f t="shared" si="3"/>
        <v>30</v>
      </c>
      <c r="K26" s="16" t="s">
        <v>48</v>
      </c>
      <c r="L26" s="16" t="s">
        <v>49</v>
      </c>
      <c r="M26" s="16" t="s">
        <v>50</v>
      </c>
      <c r="N26" s="17" t="s">
        <v>125</v>
      </c>
    </row>
    <row r="27" spans="1:14" ht="43.2" x14ac:dyDescent="0.3">
      <c r="A27" s="13">
        <v>46316</v>
      </c>
      <c r="B27" s="14">
        <v>420</v>
      </c>
      <c r="C27" s="14">
        <v>45</v>
      </c>
      <c r="D27" s="14">
        <v>360</v>
      </c>
      <c r="E27" s="14">
        <v>60</v>
      </c>
      <c r="F27" s="14">
        <v>300</v>
      </c>
      <c r="G27" s="14">
        <v>5</v>
      </c>
      <c r="H27" s="14">
        <v>240</v>
      </c>
      <c r="I27" s="15">
        <f t="shared" si="2"/>
        <v>1425</v>
      </c>
      <c r="J27" s="15">
        <f t="shared" si="3"/>
        <v>15</v>
      </c>
      <c r="K27" s="16" t="s">
        <v>65</v>
      </c>
      <c r="L27" s="16" t="s">
        <v>66</v>
      </c>
      <c r="M27" s="16" t="s">
        <v>67</v>
      </c>
      <c r="N27" s="17" t="s">
        <v>126</v>
      </c>
    </row>
    <row r="28" spans="1:14" ht="28.8" x14ac:dyDescent="0.3">
      <c r="A28" s="13">
        <v>46317</v>
      </c>
      <c r="B28" s="14">
        <v>480</v>
      </c>
      <c r="C28" s="14">
        <v>40</v>
      </c>
      <c r="D28" s="14">
        <v>360</v>
      </c>
      <c r="E28" s="14">
        <v>0</v>
      </c>
      <c r="F28" s="14">
        <v>360</v>
      </c>
      <c r="G28" s="14">
        <v>6</v>
      </c>
      <c r="H28" s="14">
        <v>180</v>
      </c>
      <c r="I28" s="15">
        <f t="shared" si="2"/>
        <v>1420</v>
      </c>
      <c r="J28" s="15">
        <f t="shared" si="3"/>
        <v>20</v>
      </c>
      <c r="K28" s="16" t="s">
        <v>48</v>
      </c>
      <c r="L28" s="16" t="s">
        <v>49</v>
      </c>
      <c r="M28" s="16" t="s">
        <v>67</v>
      </c>
      <c r="N28" s="17" t="s">
        <v>127</v>
      </c>
    </row>
    <row r="29" spans="1:14" ht="43.2" x14ac:dyDescent="0.3">
      <c r="A29" s="13">
        <v>46318</v>
      </c>
      <c r="B29" s="14">
        <v>420</v>
      </c>
      <c r="C29" s="14">
        <v>60</v>
      </c>
      <c r="D29" s="14">
        <v>360</v>
      </c>
      <c r="E29" s="14">
        <v>60</v>
      </c>
      <c r="F29" s="14">
        <v>420</v>
      </c>
      <c r="G29" s="14">
        <v>7</v>
      </c>
      <c r="H29" s="14">
        <v>120</v>
      </c>
      <c r="I29" s="15">
        <f t="shared" si="2"/>
        <v>1440</v>
      </c>
      <c r="J29" s="15">
        <f t="shared" si="3"/>
        <v>0</v>
      </c>
      <c r="K29" s="16" t="s">
        <v>65</v>
      </c>
      <c r="L29" s="16" t="s">
        <v>66</v>
      </c>
      <c r="M29" s="16" t="s">
        <v>67</v>
      </c>
      <c r="N29" s="17" t="s">
        <v>128</v>
      </c>
    </row>
    <row r="30" spans="1:14" ht="28.8" x14ac:dyDescent="0.3">
      <c r="A30" s="13">
        <v>46319</v>
      </c>
      <c r="B30" s="14">
        <v>360</v>
      </c>
      <c r="C30" s="14">
        <v>60</v>
      </c>
      <c r="D30" s="14">
        <v>360</v>
      </c>
      <c r="E30" s="14">
        <v>120</v>
      </c>
      <c r="F30" s="14">
        <v>0</v>
      </c>
      <c r="G30" s="14">
        <v>0</v>
      </c>
      <c r="H30" s="14">
        <v>540</v>
      </c>
      <c r="I30" s="15">
        <f t="shared" si="2"/>
        <v>1440</v>
      </c>
      <c r="J30" s="15">
        <f t="shared" si="3"/>
        <v>0</v>
      </c>
      <c r="K30" s="16" t="s">
        <v>48</v>
      </c>
      <c r="L30" s="16" t="s">
        <v>49</v>
      </c>
      <c r="M30" s="16" t="s">
        <v>67</v>
      </c>
      <c r="N30" s="17" t="s">
        <v>129</v>
      </c>
    </row>
    <row r="31" spans="1:14" ht="28.8" x14ac:dyDescent="0.3">
      <c r="A31" s="13">
        <v>46320</v>
      </c>
      <c r="B31" s="14">
        <v>420</v>
      </c>
      <c r="C31" s="14">
        <v>60</v>
      </c>
      <c r="D31" s="14">
        <v>420</v>
      </c>
      <c r="E31" s="14">
        <v>120</v>
      </c>
      <c r="F31" s="14">
        <v>0</v>
      </c>
      <c r="G31" s="14">
        <v>0</v>
      </c>
      <c r="H31" s="14">
        <v>420</v>
      </c>
      <c r="I31" s="15">
        <f t="shared" si="2"/>
        <v>1440</v>
      </c>
      <c r="J31" s="15">
        <f t="shared" si="3"/>
        <v>0</v>
      </c>
      <c r="K31" s="16" t="s">
        <v>48</v>
      </c>
      <c r="L31" s="16" t="s">
        <v>49</v>
      </c>
      <c r="M31" s="16" t="s">
        <v>67</v>
      </c>
      <c r="N31" s="17" t="s">
        <v>129</v>
      </c>
    </row>
    <row r="32" spans="1:14" ht="28.8" x14ac:dyDescent="0.3">
      <c r="A32" s="13">
        <v>46321</v>
      </c>
      <c r="B32" s="14">
        <v>360</v>
      </c>
      <c r="C32" s="14">
        <v>60</v>
      </c>
      <c r="D32" s="14">
        <v>360</v>
      </c>
      <c r="E32" s="14">
        <v>60</v>
      </c>
      <c r="F32" s="14">
        <v>0</v>
      </c>
      <c r="G32" s="14">
        <v>0</v>
      </c>
      <c r="H32" s="14">
        <v>600</v>
      </c>
      <c r="I32" s="15">
        <f t="shared" si="2"/>
        <v>1440</v>
      </c>
      <c r="J32" s="15">
        <f t="shared" si="3"/>
        <v>0</v>
      </c>
      <c r="K32" s="16" t="s">
        <v>48</v>
      </c>
      <c r="L32" s="16" t="s">
        <v>49</v>
      </c>
      <c r="M32" s="16" t="s">
        <v>67</v>
      </c>
      <c r="N32" s="17" t="s">
        <v>129</v>
      </c>
    </row>
    <row r="33" spans="1:14" x14ac:dyDescent="0.3">
      <c r="A33" s="13">
        <v>46322</v>
      </c>
      <c r="B33" s="14"/>
      <c r="C33" s="14"/>
      <c r="D33" s="14"/>
      <c r="E33" s="14"/>
      <c r="F33" s="14"/>
      <c r="G33" s="14"/>
      <c r="H33" s="14"/>
      <c r="I33" s="15" t="str">
        <f t="shared" si="2"/>
        <v/>
      </c>
      <c r="J33" s="15" t="str">
        <f t="shared" si="3"/>
        <v/>
      </c>
      <c r="K33" s="16"/>
      <c r="L33" s="16"/>
      <c r="M33" s="16"/>
      <c r="N33" s="17"/>
    </row>
    <row r="34" spans="1:14" x14ac:dyDescent="0.3">
      <c r="A34" s="13">
        <v>46323</v>
      </c>
      <c r="B34" s="14"/>
      <c r="C34" s="14"/>
      <c r="D34" s="14"/>
      <c r="E34" s="14"/>
      <c r="F34" s="14"/>
      <c r="G34" s="14"/>
      <c r="H34" s="14"/>
      <c r="I34" s="15" t="str">
        <f t="shared" si="2"/>
        <v/>
      </c>
      <c r="J34" s="15" t="str">
        <f t="shared" si="3"/>
        <v/>
      </c>
      <c r="K34" s="16"/>
      <c r="L34" s="16"/>
      <c r="M34" s="16"/>
      <c r="N34" s="17"/>
    </row>
    <row r="35" spans="1:14" x14ac:dyDescent="0.3">
      <c r="A35" s="13">
        <v>46324</v>
      </c>
      <c r="B35" s="14"/>
      <c r="C35" s="14"/>
      <c r="D35" s="14"/>
      <c r="E35" s="14"/>
      <c r="F35" s="14"/>
      <c r="G35" s="14"/>
      <c r="H35" s="14"/>
      <c r="I35" s="15" t="str">
        <f t="shared" si="2"/>
        <v/>
      </c>
      <c r="J35" s="15" t="str">
        <f t="shared" si="3"/>
        <v/>
      </c>
      <c r="K35" s="16"/>
      <c r="L35" s="16"/>
      <c r="M35" s="16"/>
      <c r="N35" s="17"/>
    </row>
    <row r="36" spans="1:14" x14ac:dyDescent="0.3">
      <c r="A36" s="13">
        <v>46325</v>
      </c>
      <c r="B36" s="14"/>
      <c r="C36" s="14"/>
      <c r="D36" s="14"/>
      <c r="E36" s="14"/>
      <c r="F36" s="14"/>
      <c r="G36" s="14"/>
      <c r="H36" s="14"/>
      <c r="I36" s="15" t="str">
        <f t="shared" si="2"/>
        <v/>
      </c>
      <c r="J36" s="15" t="str">
        <f t="shared" si="3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2"/>
        <v/>
      </c>
      <c r="J37" s="15" t="str">
        <f t="shared" si="3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2"/>
        <v/>
      </c>
      <c r="J38" s="15" t="str">
        <f t="shared" si="3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2"/>
        <v/>
      </c>
      <c r="J39" s="15" t="str">
        <f t="shared" si="3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2"/>
        <v/>
      </c>
      <c r="J40" s="15" t="str">
        <f t="shared" si="3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2"/>
        <v/>
      </c>
      <c r="J41" s="15" t="str">
        <f t="shared" si="3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2"/>
        <v/>
      </c>
      <c r="J42" s="15" t="str">
        <f t="shared" si="3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2"/>
        <v/>
      </c>
      <c r="J43" s="15" t="str">
        <f t="shared" si="3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2"/>
        <v/>
      </c>
      <c r="J44" s="15" t="str">
        <f t="shared" si="3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2"/>
        <v/>
      </c>
      <c r="J45" s="15" t="str">
        <f t="shared" si="3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2"/>
        <v/>
      </c>
      <c r="J46" s="15" t="str">
        <f t="shared" si="3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2"/>
        <v/>
      </c>
      <c r="J47" s="15" t="str">
        <f t="shared" si="3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2"/>
        <v/>
      </c>
      <c r="J48" s="15" t="str">
        <f t="shared" si="3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2"/>
        <v/>
      </c>
      <c r="J49" s="15" t="str">
        <f t="shared" si="3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2"/>
        <v/>
      </c>
      <c r="J50" s="15" t="str">
        <f t="shared" si="3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2"/>
        <v/>
      </c>
      <c r="J51" s="15" t="str">
        <f t="shared" si="3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2"/>
        <v/>
      </c>
      <c r="J52" s="15" t="str">
        <f t="shared" si="3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2"/>
        <v/>
      </c>
      <c r="J53" s="15" t="str">
        <f t="shared" si="3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2"/>
        <v/>
      </c>
      <c r="J54" s="15" t="str">
        <f t="shared" si="3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2"/>
        <v/>
      </c>
      <c r="J55" s="15" t="str">
        <f t="shared" si="3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2"/>
        <v/>
      </c>
      <c r="J56" s="15" t="str">
        <f t="shared" si="3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2"/>
        <v/>
      </c>
      <c r="J57" s="15" t="str">
        <f t="shared" si="3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2"/>
        <v/>
      </c>
      <c r="J58" s="15" t="str">
        <f t="shared" si="3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ref="I59:I122" si="4">IF(SUM(B59:F59,H59)=0,"",SUM(B59:F59,H59))</f>
        <v/>
      </c>
      <c r="J59" s="15" t="str">
        <f t="shared" ref="J59:J122" si="5">IF(I59="","",1440-I59)</f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4"/>
        <v/>
      </c>
      <c r="J60" s="15" t="str">
        <f t="shared" si="5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4"/>
        <v/>
      </c>
      <c r="J61" s="15" t="str">
        <f t="shared" si="5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4"/>
        <v/>
      </c>
      <c r="J62" s="15" t="str">
        <f t="shared" si="5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4"/>
        <v/>
      </c>
      <c r="J63" s="15" t="str">
        <f t="shared" si="5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4"/>
        <v/>
      </c>
      <c r="J64" s="15" t="str">
        <f t="shared" si="5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4"/>
        <v/>
      </c>
      <c r="J65" s="15" t="str">
        <f t="shared" si="5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4"/>
        <v/>
      </c>
      <c r="J66" s="15" t="str">
        <f t="shared" si="5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4"/>
        <v/>
      </c>
      <c r="J67" s="15" t="str">
        <f t="shared" si="5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4"/>
        <v/>
      </c>
      <c r="J68" s="15" t="str">
        <f t="shared" si="5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4"/>
        <v/>
      </c>
      <c r="J69" s="15" t="str">
        <f t="shared" si="5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4"/>
        <v/>
      </c>
      <c r="J70" s="15" t="str">
        <f t="shared" si="5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4"/>
        <v/>
      </c>
      <c r="J71" s="15" t="str">
        <f t="shared" si="5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4"/>
        <v/>
      </c>
      <c r="J72" s="15" t="str">
        <f t="shared" si="5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4"/>
        <v/>
      </c>
      <c r="J73" s="15" t="str">
        <f t="shared" si="5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4"/>
        <v/>
      </c>
      <c r="J74" s="15" t="str">
        <f t="shared" si="5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4"/>
        <v/>
      </c>
      <c r="J75" s="15" t="str">
        <f t="shared" si="5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4"/>
        <v/>
      </c>
      <c r="J76" s="15" t="str">
        <f t="shared" si="5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4"/>
        <v/>
      </c>
      <c r="J77" s="15" t="str">
        <f t="shared" si="5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4"/>
        <v/>
      </c>
      <c r="J78" s="15" t="str">
        <f t="shared" si="5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ref="I123:I186" si="6">IF(SUM(B123:F123,H123)=0,"",SUM(B123:F123,H123))</f>
        <v/>
      </c>
      <c r="J123" s="15" t="str">
        <f t="shared" ref="J123:J186" si="7">IF(I123="","",1440-I123)</f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6"/>
        <v/>
      </c>
      <c r="J134" s="15" t="str">
        <f t="shared" si="7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ref="I187:I250" si="8">IF(SUM(B187:F187,H187)=0,"",SUM(B187:F187,H187))</f>
        <v/>
      </c>
      <c r="J187" s="15" t="str">
        <f t="shared" ref="J187:J250" si="9">IF(I187="","",1440-I187)</f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8"/>
        <v/>
      </c>
      <c r="J198" s="15" t="str">
        <f t="shared" si="9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ref="I251:I314" si="10">IF(SUM(B251:F251,H251)=0,"",SUM(B251:F251,H251))</f>
        <v/>
      </c>
      <c r="J251" s="15" t="str">
        <f t="shared" ref="J251:J314" si="11">IF(I251="","",1440-I251)</f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10"/>
        <v/>
      </c>
      <c r="J262" s="15" t="str">
        <f t="shared" si="11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ref="I315:I326" si="12">IF(SUM(B315:F315,H315)=0,"",SUM(B315:F315,H315))</f>
        <v/>
      </c>
      <c r="J315" s="15" t="str">
        <f t="shared" ref="J315:J326" si="13">IF(I315="","",1440-I315)</f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2"/>
        <v/>
      </c>
      <c r="J326" s="15" t="str">
        <f t="shared" si="13"/>
        <v/>
      </c>
      <c r="K326" s="16"/>
      <c r="L326" s="16"/>
      <c r="M326" s="16"/>
      <c r="N326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26">
    <cfRule type="cellIs" dxfId="0" priority="1" operator="lessThan">
      <formula>0</formula>
    </cfRule>
  </conditionalFormatting>
  <dataValidations count="3">
    <dataValidation type="list" allowBlank="1" prompt="Select today's energy level" sqref="M6:M326" xr:uid="{43B57AC8-E096-4216-B5D3-4E450F402C82}">
      <formula1>"High,Medium,Low"</formula1>
      <formula2>0</formula2>
    </dataValidation>
    <dataValidation type="list" allowBlank="1" prompt="Select today's satisfaction level" sqref="L6:L326" xr:uid="{3BE3D087-9E1F-4CB6-9582-D8A50E7396BD}">
      <formula1>"Very Satisfied,Satisfied,Neutral,Unsatisfied,Very Unsatisfied"</formula1>
      <formula2>0</formula2>
    </dataValidation>
    <dataValidation type="list" allowBlank="1" error="Please choose a value from the dropdown list." prompt="Select today's overall feeling" sqref="K6:K326" xr:uid="{15CBCE14-F697-4AE8-B9C4-3DDD6906C175}">
      <formula1>"Excellent,Good,Neutral,Low,Stressed"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Daily Log</vt:lpstr>
      <vt:lpstr>Daily Log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>DAILY_DATA</cp:keywords>
  <dc:description/>
  <cp:lastModifiedBy>VITHOBA  GORAKH BUNGE</cp:lastModifiedBy>
  <cp:revision>0</cp:revision>
  <dcterms:created xsi:type="dcterms:W3CDTF">2026-07-24T11:49:30Z</dcterms:created>
  <dcterms:modified xsi:type="dcterms:W3CDTF">2026-10-26T16:07:30Z</dcterms:modified>
  <dc:language>en-US</dc:language>
</cp:coreProperties>
</file>